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1"/>
  <workbookPr/>
  <mc:AlternateContent xmlns:mc="http://schemas.openxmlformats.org/markup-compatibility/2006">
    <mc:Choice Requires="x15">
      <x15ac:absPath xmlns:x15ac="http://schemas.microsoft.com/office/spreadsheetml/2010/11/ac" url="C:\Users\AbdNahid\Desktop\bsti_v2\"/>
    </mc:Choice>
  </mc:AlternateContent>
  <xr:revisionPtr revIDLastSave="0" documentId="13_ncr:1_{A8F20630-1C94-4585-ACC1-5E03A0B1C7F2}" xr6:coauthVersionLast="47" xr6:coauthVersionMax="47" xr10:uidLastSave="{00000000-0000-0000-0000-000000000000}"/>
  <bookViews>
    <workbookView xWindow="-108" yWindow="-108" windowWidth="34776" windowHeight="19656" xr2:uid="{00000000-000D-0000-FFFF-FFFF00000000}"/>
  </bookViews>
  <sheets>
    <sheet name="Summary" sheetId="1" r:id="rId1"/>
    <sheet name="Inputs" sheetId="2" r:id="rId2"/>
    <sheet name="Work Volume" sheetId="3" r:id="rId3"/>
    <sheet name="Packages" sheetId="4" r:id="rId4"/>
    <sheet name="Payment Schedule" sheetId="5" r:id="rId5"/>
    <sheet name="Original Offer" sheetId="6" r:id="rId6"/>
    <sheet name="Gantt" sheetId="7" r:id="rId7"/>
    <sheet name="Notes" sheetId="8" r:id="rId8"/>
  </sheets>
  <definedNames>
    <definedName name="_xlnm._FilterDatabase" localSheetId="2" hidden="1">'Work Volume'!$A$4:$Q$52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11" i="7" l="1"/>
  <c r="AN11" i="7"/>
  <c r="AM11" i="7"/>
  <c r="AL11" i="7"/>
  <c r="AK11" i="7"/>
  <c r="AJ11" i="7"/>
  <c r="AI11" i="7"/>
  <c r="AH11" i="7"/>
  <c r="AG11" i="7"/>
  <c r="AF11" i="7"/>
  <c r="AE11" i="7"/>
  <c r="AD11" i="7"/>
  <c r="AC11" i="7"/>
  <c r="AB11" i="7"/>
  <c r="AA11" i="7"/>
  <c r="Z11" i="7"/>
  <c r="Y11" i="7"/>
  <c r="X11" i="7"/>
  <c r="W11" i="7"/>
  <c r="V11" i="7"/>
  <c r="U11" i="7"/>
  <c r="T11" i="7"/>
  <c r="S11" i="7"/>
  <c r="R11" i="7"/>
  <c r="Q11" i="7"/>
  <c r="P11" i="7"/>
  <c r="O11" i="7"/>
  <c r="N11" i="7"/>
  <c r="M11" i="7"/>
  <c r="L11" i="7"/>
  <c r="K11" i="7"/>
  <c r="J11" i="7"/>
  <c r="I11" i="7"/>
  <c r="H11" i="7"/>
  <c r="G11" i="7"/>
  <c r="F11" i="7"/>
  <c r="E11" i="7"/>
  <c r="D11" i="7"/>
  <c r="C11" i="7"/>
  <c r="B11" i="7"/>
  <c r="A11" i="7"/>
  <c r="AO10" i="7"/>
  <c r="AN10" i="7"/>
  <c r="AM10" i="7"/>
  <c r="AL10" i="7"/>
  <c r="AK10" i="7"/>
  <c r="AJ10" i="7"/>
  <c r="AI10" i="7"/>
  <c r="AH10" i="7"/>
  <c r="AG10" i="7"/>
  <c r="AF10" i="7"/>
  <c r="AE10" i="7"/>
  <c r="AD10" i="7"/>
  <c r="AC10" i="7"/>
  <c r="AB10" i="7"/>
  <c r="AA10" i="7"/>
  <c r="Z10" i="7"/>
  <c r="Y10" i="7"/>
  <c r="X10" i="7"/>
  <c r="W10" i="7"/>
  <c r="V10" i="7"/>
  <c r="U10" i="7"/>
  <c r="T10" i="7"/>
  <c r="S10" i="7"/>
  <c r="R10" i="7"/>
  <c r="Q10" i="7"/>
  <c r="P10" i="7"/>
  <c r="O10" i="7"/>
  <c r="N10" i="7"/>
  <c r="M10" i="7"/>
  <c r="L10" i="7"/>
  <c r="K10" i="7"/>
  <c r="J10" i="7"/>
  <c r="I10" i="7"/>
  <c r="H10" i="7"/>
  <c r="G10" i="7"/>
  <c r="F10" i="7"/>
  <c r="E10" i="7"/>
  <c r="D10" i="7"/>
  <c r="C10" i="7"/>
  <c r="B10" i="7"/>
  <c r="A10" i="7"/>
  <c r="AO9" i="7"/>
  <c r="AN9" i="7"/>
  <c r="AM9" i="7"/>
  <c r="AL9" i="7"/>
  <c r="AK9" i="7"/>
  <c r="AJ9" i="7"/>
  <c r="AI9" i="7"/>
  <c r="AH9" i="7"/>
  <c r="AG9" i="7"/>
  <c r="AF9" i="7"/>
  <c r="AE9" i="7"/>
  <c r="AD9" i="7"/>
  <c r="AC9" i="7"/>
  <c r="AB9" i="7"/>
  <c r="AA9" i="7"/>
  <c r="Z9" i="7"/>
  <c r="Y9" i="7"/>
  <c r="X9" i="7"/>
  <c r="W9" i="7"/>
  <c r="V9" i="7"/>
  <c r="U9" i="7"/>
  <c r="T9" i="7"/>
  <c r="S9" i="7"/>
  <c r="R9" i="7"/>
  <c r="Q9" i="7"/>
  <c r="P9" i="7"/>
  <c r="O9" i="7"/>
  <c r="N9" i="7"/>
  <c r="M9" i="7"/>
  <c r="L9" i="7"/>
  <c r="K9" i="7"/>
  <c r="J9" i="7"/>
  <c r="I9" i="7"/>
  <c r="H9" i="7"/>
  <c r="G9" i="7"/>
  <c r="F9" i="7"/>
  <c r="E9" i="7"/>
  <c r="D9" i="7"/>
  <c r="C9" i="7"/>
  <c r="B9" i="7"/>
  <c r="A9" i="7"/>
  <c r="AO8" i="7"/>
  <c r="AN8" i="7"/>
  <c r="AM8" i="7"/>
  <c r="AL8" i="7"/>
  <c r="AK8" i="7"/>
  <c r="AJ8" i="7"/>
  <c r="AI8" i="7"/>
  <c r="AH8" i="7"/>
  <c r="AG8" i="7"/>
  <c r="AF8" i="7"/>
  <c r="AE8" i="7"/>
  <c r="AD8" i="7"/>
  <c r="AC8" i="7"/>
  <c r="AB8" i="7"/>
  <c r="AA8" i="7"/>
  <c r="Z8" i="7"/>
  <c r="Y8" i="7"/>
  <c r="X8" i="7"/>
  <c r="W8" i="7"/>
  <c r="V8" i="7"/>
  <c r="U8" i="7"/>
  <c r="T8" i="7"/>
  <c r="S8" i="7"/>
  <c r="R8" i="7"/>
  <c r="Q8" i="7"/>
  <c r="P8" i="7"/>
  <c r="O8" i="7"/>
  <c r="N8" i="7"/>
  <c r="M8" i="7"/>
  <c r="L8" i="7"/>
  <c r="K8" i="7"/>
  <c r="J8" i="7"/>
  <c r="I8" i="7"/>
  <c r="H8" i="7"/>
  <c r="G8" i="7"/>
  <c r="F8" i="7"/>
  <c r="E8" i="7"/>
  <c r="D8" i="7"/>
  <c r="C8" i="7"/>
  <c r="B8" i="7"/>
  <c r="A8" i="7"/>
  <c r="AO7" i="7"/>
  <c r="AN7" i="7"/>
  <c r="AM7" i="7"/>
  <c r="AL7" i="7"/>
  <c r="AK7" i="7"/>
  <c r="AJ7" i="7"/>
  <c r="AI7" i="7"/>
  <c r="AH7" i="7"/>
  <c r="AG7" i="7"/>
  <c r="AF7" i="7"/>
  <c r="AE7" i="7"/>
  <c r="AD7" i="7"/>
  <c r="AC7" i="7"/>
  <c r="AB7" i="7"/>
  <c r="AA7" i="7"/>
  <c r="Z7" i="7"/>
  <c r="Y7" i="7"/>
  <c r="X7" i="7"/>
  <c r="W7" i="7"/>
  <c r="V7" i="7"/>
  <c r="U7" i="7"/>
  <c r="T7" i="7"/>
  <c r="S7" i="7"/>
  <c r="R7" i="7"/>
  <c r="Q7" i="7"/>
  <c r="P7" i="7"/>
  <c r="O7" i="7"/>
  <c r="N7" i="7"/>
  <c r="M7" i="7"/>
  <c r="L7" i="7"/>
  <c r="K7" i="7"/>
  <c r="J7" i="7"/>
  <c r="I7" i="7"/>
  <c r="H7" i="7"/>
  <c r="G7" i="7"/>
  <c r="F7" i="7"/>
  <c r="E7" i="7"/>
  <c r="D7" i="7"/>
  <c r="C7" i="7"/>
  <c r="B7" i="7"/>
  <c r="A7" i="7"/>
  <c r="AO6" i="7"/>
  <c r="AN6" i="7"/>
  <c r="AM6" i="7"/>
  <c r="AL6" i="7"/>
  <c r="AK6" i="7"/>
  <c r="AJ6" i="7"/>
  <c r="AI6" i="7"/>
  <c r="AH6" i="7"/>
  <c r="AG6" i="7"/>
  <c r="AF6" i="7"/>
  <c r="AE6" i="7"/>
  <c r="AD6" i="7"/>
  <c r="AC6" i="7"/>
  <c r="AB6" i="7"/>
  <c r="AA6" i="7"/>
  <c r="Z6" i="7"/>
  <c r="Y6" i="7"/>
  <c r="X6" i="7"/>
  <c r="W6" i="7"/>
  <c r="V6" i="7"/>
  <c r="U6" i="7"/>
  <c r="T6" i="7"/>
  <c r="S6" i="7"/>
  <c r="R6" i="7"/>
  <c r="Q6" i="7"/>
  <c r="P6" i="7"/>
  <c r="O6" i="7"/>
  <c r="N6" i="7"/>
  <c r="M6" i="7"/>
  <c r="L6" i="7"/>
  <c r="K6" i="7"/>
  <c r="J6" i="7"/>
  <c r="I6" i="7"/>
  <c r="H6" i="7"/>
  <c r="G6" i="7"/>
  <c r="F6" i="7"/>
  <c r="E6" i="7"/>
  <c r="D6" i="7"/>
  <c r="C6" i="7"/>
  <c r="B6" i="7"/>
  <c r="A6" i="7"/>
  <c r="AO5" i="7"/>
  <c r="AO12" i="7" s="1"/>
  <c r="AN5" i="7"/>
  <c r="AN12" i="7" s="1"/>
  <c r="AM5" i="7"/>
  <c r="AM12" i="7" s="1"/>
  <c r="AL5" i="7"/>
  <c r="AL12" i="7" s="1"/>
  <c r="AK5" i="7"/>
  <c r="AK12" i="7" s="1"/>
  <c r="AJ5" i="7"/>
  <c r="AJ12" i="7" s="1"/>
  <c r="AI5" i="7"/>
  <c r="AI12" i="7" s="1"/>
  <c r="AH5" i="7"/>
  <c r="AH12" i="7" s="1"/>
  <c r="AG5" i="7"/>
  <c r="AG12" i="7" s="1"/>
  <c r="AF5" i="7"/>
  <c r="AF12" i="7" s="1"/>
  <c r="AE5" i="7"/>
  <c r="AE12" i="7" s="1"/>
  <c r="AD5" i="7"/>
  <c r="AD12" i="7" s="1"/>
  <c r="AC5" i="7"/>
  <c r="AC12" i="7" s="1"/>
  <c r="AB5" i="7"/>
  <c r="AB12" i="7" s="1"/>
  <c r="AA5" i="7"/>
  <c r="AA12" i="7" s="1"/>
  <c r="Z5" i="7"/>
  <c r="Z12" i="7" s="1"/>
  <c r="Y5" i="7"/>
  <c r="Y12" i="7" s="1"/>
  <c r="X5" i="7"/>
  <c r="X12" i="7" s="1"/>
  <c r="W5" i="7"/>
  <c r="W12" i="7" s="1"/>
  <c r="V5" i="7"/>
  <c r="V12" i="7" s="1"/>
  <c r="U5" i="7"/>
  <c r="U12" i="7" s="1"/>
  <c r="T5" i="7"/>
  <c r="T12" i="7" s="1"/>
  <c r="S5" i="7"/>
  <c r="S12" i="7" s="1"/>
  <c r="R5" i="7"/>
  <c r="R12" i="7" s="1"/>
  <c r="Q5" i="7"/>
  <c r="Q12" i="7" s="1"/>
  <c r="P5" i="7"/>
  <c r="P12" i="7" s="1"/>
  <c r="O5" i="7"/>
  <c r="O12" i="7" s="1"/>
  <c r="N5" i="7"/>
  <c r="N12" i="7" s="1"/>
  <c r="M5" i="7"/>
  <c r="M12" i="7" s="1"/>
  <c r="L5" i="7"/>
  <c r="L12" i="7" s="1"/>
  <c r="K5" i="7"/>
  <c r="K12" i="7" s="1"/>
  <c r="J5" i="7"/>
  <c r="J12" i="7" s="1"/>
  <c r="I5" i="7"/>
  <c r="I12" i="7" s="1"/>
  <c r="H5" i="7"/>
  <c r="H12" i="7" s="1"/>
  <c r="G5" i="7"/>
  <c r="G12" i="7" s="1"/>
  <c r="F5" i="7"/>
  <c r="F12" i="7" s="1"/>
  <c r="E5" i="7"/>
  <c r="E12" i="7" s="1"/>
  <c r="D5" i="7"/>
  <c r="D12" i="7" s="1"/>
  <c r="C5" i="7"/>
  <c r="C12" i="7" s="1"/>
  <c r="B5" i="7"/>
  <c r="A5" i="7"/>
  <c r="F19" i="6"/>
  <c r="F18" i="6"/>
  <c r="F21" i="6" s="1"/>
  <c r="F17" i="6"/>
  <c r="F16" i="6"/>
  <c r="F15" i="6"/>
  <c r="F14" i="6"/>
  <c r="F13" i="6"/>
  <c r="F12" i="6"/>
  <c r="F11" i="6"/>
  <c r="F10" i="6"/>
  <c r="F9" i="6"/>
  <c r="F8" i="6"/>
  <c r="F7" i="6"/>
  <c r="F6" i="6"/>
  <c r="F5" i="6"/>
  <c r="F20" i="6" s="1"/>
  <c r="E41" i="5"/>
  <c r="F41" i="5" s="1"/>
  <c r="D41" i="5"/>
  <c r="G41" i="5" s="1"/>
  <c r="C41" i="5"/>
  <c r="E40" i="5"/>
  <c r="F40" i="5" s="1"/>
  <c r="D40" i="5"/>
  <c r="G40" i="5" s="1"/>
  <c r="C40" i="5"/>
  <c r="E39" i="5"/>
  <c r="F39" i="5" s="1"/>
  <c r="D39" i="5"/>
  <c r="G39" i="5" s="1"/>
  <c r="C39" i="5"/>
  <c r="E38" i="5"/>
  <c r="F38" i="5" s="1"/>
  <c r="D38" i="5"/>
  <c r="G38" i="5" s="1"/>
  <c r="C38" i="5"/>
  <c r="E37" i="5"/>
  <c r="F37" i="5" s="1"/>
  <c r="D37" i="5"/>
  <c r="G37" i="5" s="1"/>
  <c r="C37" i="5"/>
  <c r="E36" i="5"/>
  <c r="F36" i="5" s="1"/>
  <c r="D36" i="5"/>
  <c r="G36" i="5" s="1"/>
  <c r="C36" i="5"/>
  <c r="E35" i="5"/>
  <c r="F35" i="5" s="1"/>
  <c r="D35" i="5"/>
  <c r="G35" i="5" s="1"/>
  <c r="C35" i="5"/>
  <c r="E34" i="5"/>
  <c r="F34" i="5" s="1"/>
  <c r="D34" i="5"/>
  <c r="G34" i="5" s="1"/>
  <c r="C34" i="5"/>
  <c r="D33" i="5"/>
  <c r="C33" i="5"/>
  <c r="D32" i="5"/>
  <c r="C32" i="5"/>
  <c r="D31" i="5"/>
  <c r="C31" i="5"/>
  <c r="D30" i="5"/>
  <c r="C30" i="5"/>
  <c r="D29" i="5"/>
  <c r="C29" i="5"/>
  <c r="D28" i="5"/>
  <c r="C28" i="5"/>
  <c r="D27" i="5"/>
  <c r="C27" i="5"/>
  <c r="D26" i="5"/>
  <c r="C26" i="5"/>
  <c r="D25" i="5"/>
  <c r="C25" i="5"/>
  <c r="D24" i="5"/>
  <c r="C24" i="5"/>
  <c r="D23" i="5"/>
  <c r="C23" i="5"/>
  <c r="D22" i="5"/>
  <c r="C22" i="5"/>
  <c r="D21" i="5"/>
  <c r="C21" i="5"/>
  <c r="D20" i="5"/>
  <c r="C20" i="5"/>
  <c r="D19" i="5"/>
  <c r="C19" i="5"/>
  <c r="D18" i="5"/>
  <c r="C18" i="5"/>
  <c r="D17" i="5"/>
  <c r="C17" i="5"/>
  <c r="D16" i="5"/>
  <c r="C16" i="5"/>
  <c r="D15" i="5"/>
  <c r="C15" i="5"/>
  <c r="D14" i="5"/>
  <c r="C14" i="5"/>
  <c r="D13" i="5"/>
  <c r="C13" i="5"/>
  <c r="D12" i="5"/>
  <c r="C12" i="5"/>
  <c r="D11" i="5"/>
  <c r="C11" i="5"/>
  <c r="D10" i="5"/>
  <c r="C10" i="5"/>
  <c r="D9" i="5"/>
  <c r="C9" i="5"/>
  <c r="D8" i="5"/>
  <c r="C8" i="5"/>
  <c r="D7" i="5"/>
  <c r="C7" i="5"/>
  <c r="D6" i="5"/>
  <c r="C6" i="5"/>
  <c r="E5" i="5"/>
  <c r="F5" i="5" s="1"/>
  <c r="W12" i="4"/>
  <c r="T12" i="4"/>
  <c r="E31" i="5" s="1"/>
  <c r="F31" i="5" s="1"/>
  <c r="S12" i="4"/>
  <c r="E30" i="5" s="1"/>
  <c r="F30" i="5" s="1"/>
  <c r="R12" i="4"/>
  <c r="Q12" i="4"/>
  <c r="W11" i="4"/>
  <c r="T11" i="4"/>
  <c r="E27" i="5" s="1"/>
  <c r="F27" i="5" s="1"/>
  <c r="S11" i="4"/>
  <c r="E26" i="5" s="1"/>
  <c r="F26" i="5" s="1"/>
  <c r="R11" i="4"/>
  <c r="Q11" i="4"/>
  <c r="W10" i="4"/>
  <c r="T10" i="4"/>
  <c r="E23" i="5" s="1"/>
  <c r="F23" i="5" s="1"/>
  <c r="S10" i="4"/>
  <c r="E22" i="5" s="1"/>
  <c r="F22" i="5" s="1"/>
  <c r="R10" i="4"/>
  <c r="Q10" i="4"/>
  <c r="W9" i="4"/>
  <c r="T9" i="4"/>
  <c r="E19" i="5" s="1"/>
  <c r="F19" i="5" s="1"/>
  <c r="S9" i="4"/>
  <c r="E18" i="5" s="1"/>
  <c r="F18" i="5" s="1"/>
  <c r="R9" i="4"/>
  <c r="Q9" i="4"/>
  <c r="W8" i="4"/>
  <c r="T8" i="4"/>
  <c r="E15" i="5" s="1"/>
  <c r="F15" i="5" s="1"/>
  <c r="S8" i="4"/>
  <c r="E14" i="5" s="1"/>
  <c r="F14" i="5" s="1"/>
  <c r="R8" i="4"/>
  <c r="Q8" i="4"/>
  <c r="W7" i="4"/>
  <c r="T7" i="4"/>
  <c r="E11" i="5" s="1"/>
  <c r="F11" i="5" s="1"/>
  <c r="S7" i="4"/>
  <c r="E10" i="5" s="1"/>
  <c r="F10" i="5" s="1"/>
  <c r="R7" i="4"/>
  <c r="Q7" i="4"/>
  <c r="W6" i="4"/>
  <c r="T6" i="4"/>
  <c r="E7" i="5" s="1"/>
  <c r="F7" i="5" s="1"/>
  <c r="S6" i="4"/>
  <c r="E6" i="5" s="1"/>
  <c r="F6" i="5" s="1"/>
  <c r="R6" i="4"/>
  <c r="Q6" i="4"/>
  <c r="F5" i="4"/>
  <c r="E5" i="4"/>
  <c r="L52" i="3"/>
  <c r="I52" i="3"/>
  <c r="L51" i="3"/>
  <c r="I51" i="3"/>
  <c r="L50" i="3"/>
  <c r="N50" i="3" s="1"/>
  <c r="L49" i="3"/>
  <c r="I49" i="3"/>
  <c r="L48" i="3"/>
  <c r="I48" i="3"/>
  <c r="L47" i="3"/>
  <c r="I47" i="3"/>
  <c r="N47" i="3" s="1"/>
  <c r="L46" i="3"/>
  <c r="I46" i="3"/>
  <c r="L45" i="3"/>
  <c r="I45" i="3"/>
  <c r="L44" i="3"/>
  <c r="I44" i="3"/>
  <c r="L43" i="3"/>
  <c r="N43" i="3" s="1"/>
  <c r="I43" i="3"/>
  <c r="L42" i="3"/>
  <c r="I42" i="3"/>
  <c r="N42" i="3" s="1"/>
  <c r="L41" i="3"/>
  <c r="N41" i="3" s="1"/>
  <c r="L40" i="3"/>
  <c r="I40" i="3"/>
  <c r="L39" i="3"/>
  <c r="I39" i="3"/>
  <c r="N39" i="3" s="1"/>
  <c r="L38" i="3"/>
  <c r="I38" i="3"/>
  <c r="N38" i="3" s="1"/>
  <c r="L37" i="3"/>
  <c r="I37" i="3"/>
  <c r="N37" i="3" s="1"/>
  <c r="L36" i="3"/>
  <c r="I36" i="3"/>
  <c r="L35" i="3"/>
  <c r="I35" i="3"/>
  <c r="N35" i="3" s="1"/>
  <c r="L34" i="3"/>
  <c r="I34" i="3"/>
  <c r="L33" i="3"/>
  <c r="I33" i="3"/>
  <c r="L32" i="3"/>
  <c r="I32" i="3"/>
  <c r="N32" i="3" s="1"/>
  <c r="L31" i="3"/>
  <c r="I31" i="3"/>
  <c r="N31" i="3" s="1"/>
  <c r="L30" i="3"/>
  <c r="I30" i="3"/>
  <c r="L29" i="3"/>
  <c r="I29" i="3"/>
  <c r="N29" i="3" s="1"/>
  <c r="L28" i="3"/>
  <c r="I28" i="3"/>
  <c r="N28" i="3" s="1"/>
  <c r="L27" i="3"/>
  <c r="I27" i="3"/>
  <c r="N27" i="3" s="1"/>
  <c r="L26" i="3"/>
  <c r="I26" i="3"/>
  <c r="L25" i="3"/>
  <c r="N25" i="3" s="1"/>
  <c r="L24" i="3"/>
  <c r="N24" i="3" s="1"/>
  <c r="L23" i="3"/>
  <c r="N23" i="3" s="1"/>
  <c r="L22" i="3"/>
  <c r="I22" i="3"/>
  <c r="N22" i="3" s="1"/>
  <c r="L21" i="3"/>
  <c r="I21" i="3"/>
  <c r="L20" i="3"/>
  <c r="I20" i="3"/>
  <c r="N20" i="3" s="1"/>
  <c r="L19" i="3"/>
  <c r="I19" i="3"/>
  <c r="N19" i="3" s="1"/>
  <c r="L18" i="3"/>
  <c r="I18" i="3"/>
  <c r="L17" i="3"/>
  <c r="I17" i="3"/>
  <c r="L16" i="3"/>
  <c r="N16" i="3" s="1"/>
  <c r="L15" i="3"/>
  <c r="I15" i="3"/>
  <c r="N15" i="3" s="1"/>
  <c r="L14" i="3"/>
  <c r="I14" i="3"/>
  <c r="N14" i="3" s="1"/>
  <c r="L13" i="3"/>
  <c r="I13" i="3"/>
  <c r="N13" i="3" s="1"/>
  <c r="L12" i="3"/>
  <c r="I12" i="3"/>
  <c r="N12" i="3" s="1"/>
  <c r="L11" i="3"/>
  <c r="I11" i="3"/>
  <c r="L10" i="3"/>
  <c r="I10" i="3"/>
  <c r="N10" i="3" s="1"/>
  <c r="L9" i="3"/>
  <c r="I9" i="3"/>
  <c r="L8" i="3"/>
  <c r="N8" i="3" s="1"/>
  <c r="L7" i="3"/>
  <c r="I7" i="3"/>
  <c r="L6" i="3"/>
  <c r="I6" i="3"/>
  <c r="L5" i="3"/>
  <c r="N5" i="3" s="1"/>
  <c r="B27" i="2"/>
  <c r="C37" i="1" s="1"/>
  <c r="B6" i="2"/>
  <c r="C32" i="1"/>
  <c r="C31" i="1"/>
  <c r="C30" i="1"/>
  <c r="C29" i="1"/>
  <c r="C28" i="1"/>
  <c r="C27" i="1"/>
  <c r="C33" i="1" s="1"/>
  <c r="G20" i="1"/>
  <c r="B20" i="1"/>
  <c r="A20" i="1"/>
  <c r="G19" i="1"/>
  <c r="B19" i="1"/>
  <c r="A19" i="1"/>
  <c r="G18" i="1"/>
  <c r="B18" i="1"/>
  <c r="A18" i="1"/>
  <c r="G17" i="1"/>
  <c r="B17" i="1"/>
  <c r="A17" i="1"/>
  <c r="G16" i="1"/>
  <c r="B16" i="1"/>
  <c r="A16" i="1"/>
  <c r="G15" i="1"/>
  <c r="B15" i="1"/>
  <c r="A15" i="1"/>
  <c r="G14" i="1"/>
  <c r="B14" i="1"/>
  <c r="A14" i="1"/>
  <c r="H13" i="1"/>
  <c r="G13" i="1"/>
  <c r="C13" i="1"/>
  <c r="B13" i="1"/>
  <c r="A13" i="1"/>
  <c r="C7" i="1"/>
  <c r="C5" i="1"/>
  <c r="C4" i="1"/>
  <c r="C6" i="1" s="1"/>
  <c r="N52" i="3" l="1"/>
  <c r="N46" i="3"/>
  <c r="N44" i="3"/>
  <c r="N40" i="3"/>
  <c r="D10" i="4" s="1"/>
  <c r="N36" i="3"/>
  <c r="N34" i="3"/>
  <c r="N30" i="3"/>
  <c r="N7" i="3"/>
  <c r="N51" i="3"/>
  <c r="N49" i="3"/>
  <c r="N48" i="3"/>
  <c r="D12" i="4" s="1"/>
  <c r="W13" i="4"/>
  <c r="N26" i="3"/>
  <c r="D9" i="4" s="1"/>
  <c r="N18" i="3"/>
  <c r="N33" i="3"/>
  <c r="N9" i="3"/>
  <c r="N17" i="3"/>
  <c r="N45" i="3"/>
  <c r="N11" i="3"/>
  <c r="D7" i="4" s="1"/>
  <c r="N21" i="3"/>
  <c r="F23" i="6"/>
  <c r="C44" i="1" s="1"/>
  <c r="F22" i="6"/>
  <c r="H41" i="5"/>
  <c r="I41" i="5"/>
  <c r="H40" i="5"/>
  <c r="I40" i="5"/>
  <c r="H39" i="5"/>
  <c r="I39" i="5"/>
  <c r="H38" i="5"/>
  <c r="I38" i="5"/>
  <c r="H37" i="5"/>
  <c r="I37" i="5"/>
  <c r="H36" i="5"/>
  <c r="I36" i="5"/>
  <c r="H35" i="5"/>
  <c r="I35" i="5"/>
  <c r="H34" i="5"/>
  <c r="I34" i="5"/>
  <c r="G44" i="5"/>
  <c r="V12" i="4"/>
  <c r="E33" i="5" s="1"/>
  <c r="F33" i="5" s="1"/>
  <c r="U12" i="4"/>
  <c r="U11" i="4"/>
  <c r="V11" i="4"/>
  <c r="E29" i="5" s="1"/>
  <c r="F29" i="5" s="1"/>
  <c r="U10" i="4"/>
  <c r="V10" i="4"/>
  <c r="E25" i="5" s="1"/>
  <c r="F25" i="5" s="1"/>
  <c r="V9" i="4"/>
  <c r="E21" i="5" s="1"/>
  <c r="F21" i="5" s="1"/>
  <c r="U9" i="4"/>
  <c r="V8" i="4"/>
  <c r="E17" i="5" s="1"/>
  <c r="F17" i="5" s="1"/>
  <c r="U8" i="4"/>
  <c r="V7" i="4"/>
  <c r="E13" i="5" s="1"/>
  <c r="F13" i="5" s="1"/>
  <c r="U7" i="4"/>
  <c r="V6" i="4"/>
  <c r="E9" i="5" s="1"/>
  <c r="F9" i="5" s="1"/>
  <c r="U6" i="4"/>
  <c r="G5" i="4"/>
  <c r="H5" i="4"/>
  <c r="G5" i="5"/>
  <c r="N6" i="3"/>
  <c r="I53" i="3"/>
  <c r="D6" i="4"/>
  <c r="N53" i="3"/>
  <c r="D11" i="4" l="1"/>
  <c r="D8" i="4"/>
  <c r="D13" i="4" s="1"/>
  <c r="F15" i="4" s="1"/>
  <c r="C40" i="1" s="1"/>
  <c r="G46" i="5"/>
  <c r="C43" i="1" s="1"/>
  <c r="H20" i="1"/>
  <c r="F17" i="4"/>
  <c r="E32" i="5"/>
  <c r="F32" i="5" s="1"/>
  <c r="H19" i="1"/>
  <c r="E28" i="5"/>
  <c r="F28" i="5" s="1"/>
  <c r="E24" i="5"/>
  <c r="F24" i="5" s="1"/>
  <c r="H18" i="1"/>
  <c r="E20" i="5"/>
  <c r="F20" i="5" s="1"/>
  <c r="H17" i="1"/>
  <c r="H16" i="1"/>
  <c r="E16" i="5"/>
  <c r="F16" i="5" s="1"/>
  <c r="H15" i="1"/>
  <c r="E12" i="5"/>
  <c r="F12" i="5" s="1"/>
  <c r="C45" i="1"/>
  <c r="E8" i="5"/>
  <c r="F8" i="5" s="1"/>
  <c r="U13" i="4"/>
  <c r="C9" i="1" s="1"/>
  <c r="H14" i="1"/>
  <c r="I5" i="4"/>
  <c r="J5" i="4"/>
  <c r="D13" i="1"/>
  <c r="H5" i="5"/>
  <c r="I5" i="5" s="1"/>
  <c r="P55" i="3"/>
  <c r="O5" i="3"/>
  <c r="O10" i="3"/>
  <c r="P10" i="3" s="1"/>
  <c r="O15" i="3"/>
  <c r="P15" i="3" s="1"/>
  <c r="Q15" i="3" s="1"/>
  <c r="O16" i="3"/>
  <c r="P16" i="3" s="1"/>
  <c r="Q16" i="3" s="1"/>
  <c r="O20" i="3"/>
  <c r="P20" i="3" s="1"/>
  <c r="Q20" i="3" s="1"/>
  <c r="O21" i="3"/>
  <c r="P21" i="3" s="1"/>
  <c r="Q21" i="3" s="1"/>
  <c r="O27" i="3"/>
  <c r="P27" i="3" s="1"/>
  <c r="Q27" i="3" s="1"/>
  <c r="O29" i="3"/>
  <c r="P29" i="3" s="1"/>
  <c r="Q29" i="3" s="1"/>
  <c r="O37" i="3"/>
  <c r="P37" i="3" s="1"/>
  <c r="Q37" i="3" s="1"/>
  <c r="O42" i="3"/>
  <c r="P42" i="3" s="1"/>
  <c r="O44" i="3"/>
  <c r="P44" i="3" s="1"/>
  <c r="Q44" i="3" s="1"/>
  <c r="O46" i="3"/>
  <c r="P46" i="3" s="1"/>
  <c r="Q46" i="3" s="1"/>
  <c r="O49" i="3"/>
  <c r="P49" i="3" s="1"/>
  <c r="Q49" i="3" s="1"/>
  <c r="O52" i="3"/>
  <c r="P52" i="3" s="1"/>
  <c r="Q52" i="3" s="1"/>
  <c r="O7" i="3"/>
  <c r="P7" i="3" s="1"/>
  <c r="Q7" i="3" s="1"/>
  <c r="O9" i="3"/>
  <c r="P9" i="3" s="1"/>
  <c r="Q9" i="3" s="1"/>
  <c r="O12" i="3"/>
  <c r="P12" i="3" s="1"/>
  <c r="Q12" i="3" s="1"/>
  <c r="O25" i="3"/>
  <c r="P25" i="3" s="1"/>
  <c r="Q25" i="3" s="1"/>
  <c r="O35" i="3"/>
  <c r="P35" i="3" s="1"/>
  <c r="Q35" i="3" s="1"/>
  <c r="O40" i="3"/>
  <c r="P40" i="3" s="1"/>
  <c r="Q40" i="3" s="1"/>
  <c r="O48" i="3"/>
  <c r="P48" i="3" s="1"/>
  <c r="O50" i="3"/>
  <c r="P50" i="3" s="1"/>
  <c r="Q50" i="3" s="1"/>
  <c r="O6" i="3"/>
  <c r="P6" i="3" s="1"/>
  <c r="Q6" i="3" s="1"/>
  <c r="O13" i="3"/>
  <c r="P13" i="3" s="1"/>
  <c r="Q13" i="3" s="1"/>
  <c r="O14" i="3"/>
  <c r="P14" i="3" s="1"/>
  <c r="Q14" i="3" s="1"/>
  <c r="O19" i="3"/>
  <c r="P19" i="3" s="1"/>
  <c r="Q19" i="3" s="1"/>
  <c r="O22" i="3"/>
  <c r="P22" i="3" s="1"/>
  <c r="Q22" i="3" s="1"/>
  <c r="O23" i="3"/>
  <c r="P23" i="3" s="1"/>
  <c r="O24" i="3"/>
  <c r="P24" i="3" s="1"/>
  <c r="Q24" i="3" s="1"/>
  <c r="O28" i="3"/>
  <c r="P28" i="3" s="1"/>
  <c r="Q28" i="3" s="1"/>
  <c r="O30" i="3"/>
  <c r="P30" i="3" s="1"/>
  <c r="Q30" i="3" s="1"/>
  <c r="O32" i="3"/>
  <c r="P32" i="3" s="1"/>
  <c r="Q32" i="3" s="1"/>
  <c r="O36" i="3"/>
  <c r="P36" i="3" s="1"/>
  <c r="Q36" i="3" s="1"/>
  <c r="O38" i="3"/>
  <c r="P38" i="3" s="1"/>
  <c r="Q38" i="3" s="1"/>
  <c r="O45" i="3"/>
  <c r="P45" i="3" s="1"/>
  <c r="Q45" i="3" s="1"/>
  <c r="O17" i="3"/>
  <c r="P17" i="3" s="1"/>
  <c r="O8" i="3"/>
  <c r="P8" i="3" s="1"/>
  <c r="Q8" i="3" s="1"/>
  <c r="O11" i="3"/>
  <c r="P11" i="3" s="1"/>
  <c r="Q11" i="3" s="1"/>
  <c r="O18" i="3"/>
  <c r="P18" i="3" s="1"/>
  <c r="Q18" i="3" s="1"/>
  <c r="O26" i="3"/>
  <c r="P26" i="3" s="1"/>
  <c r="Q26" i="3" s="1"/>
  <c r="O31" i="3"/>
  <c r="P31" i="3" s="1"/>
  <c r="Q31" i="3" s="1"/>
  <c r="O33" i="3"/>
  <c r="P33" i="3" s="1"/>
  <c r="Q33" i="3" s="1"/>
  <c r="O34" i="3"/>
  <c r="P34" i="3" s="1"/>
  <c r="Q34" i="3" s="1"/>
  <c r="O39" i="3"/>
  <c r="P39" i="3" s="1"/>
  <c r="O41" i="3"/>
  <c r="P41" i="3" s="1"/>
  <c r="Q41" i="3" s="1"/>
  <c r="O43" i="3"/>
  <c r="P43" i="3" s="1"/>
  <c r="Q43" i="3" s="1"/>
  <c r="O47" i="3"/>
  <c r="P47" i="3" s="1"/>
  <c r="Q47" i="3" s="1"/>
  <c r="O51" i="3"/>
  <c r="P51" i="3" s="1"/>
  <c r="Q51" i="3" s="1"/>
  <c r="D27" i="1" l="1"/>
  <c r="E32" i="1"/>
  <c r="E28" i="1"/>
  <c r="D32" i="1"/>
  <c r="F32" i="1" s="1"/>
  <c r="G32" i="1" s="1"/>
  <c r="E27" i="1"/>
  <c r="E30" i="1"/>
  <c r="H32" i="1"/>
  <c r="E31" i="1"/>
  <c r="E29" i="1"/>
  <c r="E13" i="1"/>
  <c r="F13" i="1"/>
  <c r="H27" i="1"/>
  <c r="O53" i="3"/>
  <c r="P5" i="3"/>
  <c r="E7" i="4"/>
  <c r="F7" i="4" s="1"/>
  <c r="Q10" i="3"/>
  <c r="Q42" i="3"/>
  <c r="E11" i="4"/>
  <c r="F11" i="4" s="1"/>
  <c r="Q48" i="3"/>
  <c r="E12" i="4"/>
  <c r="E9" i="4"/>
  <c r="F9" i="4" s="1"/>
  <c r="Q23" i="3"/>
  <c r="Q17" i="3"/>
  <c r="E8" i="4"/>
  <c r="F8" i="4" s="1"/>
  <c r="Q39" i="3"/>
  <c r="E10" i="4"/>
  <c r="F10" i="4" s="1"/>
  <c r="F27" i="1" l="1"/>
  <c r="P53" i="3"/>
  <c r="P54" i="3" s="1"/>
  <c r="C38" i="1" s="1"/>
  <c r="E6" i="4"/>
  <c r="Q5" i="3"/>
  <c r="Q53" i="3" s="1"/>
  <c r="G10" i="5"/>
  <c r="G11" i="5"/>
  <c r="G12" i="5"/>
  <c r="G13" i="5"/>
  <c r="G7" i="4"/>
  <c r="H7" i="4" s="1"/>
  <c r="C15" i="1"/>
  <c r="G27" i="5"/>
  <c r="G28" i="5"/>
  <c r="G29" i="5"/>
  <c r="G26" i="5"/>
  <c r="C19" i="1"/>
  <c r="G11" i="4"/>
  <c r="H11" i="4" s="1"/>
  <c r="G20" i="5"/>
  <c r="G21" i="5"/>
  <c r="G18" i="5"/>
  <c r="G19" i="5"/>
  <c r="G9" i="4"/>
  <c r="H9" i="4"/>
  <c r="C17" i="1"/>
  <c r="G14" i="5"/>
  <c r="G15" i="5"/>
  <c r="G16" i="5"/>
  <c r="G17" i="5"/>
  <c r="C16" i="1"/>
  <c r="G8" i="4"/>
  <c r="H8" i="4" s="1"/>
  <c r="G23" i="5"/>
  <c r="G24" i="5"/>
  <c r="G25" i="5"/>
  <c r="G22" i="5"/>
  <c r="G10" i="4"/>
  <c r="H10" i="4"/>
  <c r="C18" i="1"/>
  <c r="E33" i="1"/>
  <c r="G27" i="1" l="1"/>
  <c r="E13" i="4"/>
  <c r="F6" i="4"/>
  <c r="H10" i="5"/>
  <c r="I10" i="5" s="1"/>
  <c r="H11" i="5"/>
  <c r="I11" i="5"/>
  <c r="H12" i="5"/>
  <c r="I12" i="5"/>
  <c r="D29" i="1"/>
  <c r="F29" i="1" s="1"/>
  <c r="G29" i="1" s="1"/>
  <c r="H13" i="5"/>
  <c r="I13" i="5"/>
  <c r="D15" i="1"/>
  <c r="I7" i="4"/>
  <c r="E15" i="1" s="1"/>
  <c r="J7" i="4"/>
  <c r="F15" i="1" s="1"/>
  <c r="H27" i="5"/>
  <c r="I27" i="5" s="1"/>
  <c r="H28" i="5"/>
  <c r="I28" i="5"/>
  <c r="H29" i="5"/>
  <c r="I29" i="5" s="1"/>
  <c r="H26" i="5"/>
  <c r="I26" i="5" s="1"/>
  <c r="D19" i="1"/>
  <c r="J11" i="4"/>
  <c r="F19" i="1" s="1"/>
  <c r="I11" i="4"/>
  <c r="E19" i="1" s="1"/>
  <c r="H20" i="5"/>
  <c r="I20" i="5" s="1"/>
  <c r="H21" i="5"/>
  <c r="I21" i="5"/>
  <c r="H18" i="5"/>
  <c r="I18" i="5" s="1"/>
  <c r="H19" i="5"/>
  <c r="I19" i="5"/>
  <c r="I9" i="4"/>
  <c r="E17" i="1" s="1"/>
  <c r="D17" i="1"/>
  <c r="J9" i="4"/>
  <c r="F17" i="1" s="1"/>
  <c r="H14" i="5"/>
  <c r="I14" i="5" s="1"/>
  <c r="H15" i="5"/>
  <c r="I15" i="5" s="1"/>
  <c r="H16" i="5"/>
  <c r="I16" i="5" s="1"/>
  <c r="H17" i="5"/>
  <c r="I17" i="5"/>
  <c r="I8" i="4"/>
  <c r="E16" i="1" s="1"/>
  <c r="J8" i="4"/>
  <c r="F16" i="1" s="1"/>
  <c r="D16" i="1"/>
  <c r="H23" i="5"/>
  <c r="I23" i="5" s="1"/>
  <c r="H24" i="5"/>
  <c r="I24" i="5" s="1"/>
  <c r="H25" i="5"/>
  <c r="I25" i="5" s="1"/>
  <c r="H22" i="5"/>
  <c r="I22" i="5"/>
  <c r="I10" i="4"/>
  <c r="E18" i="1" s="1"/>
  <c r="J10" i="4"/>
  <c r="F18" i="1" s="1"/>
  <c r="D18" i="1"/>
  <c r="F12" i="4" l="1"/>
  <c r="F13" i="4"/>
  <c r="F14" i="4" s="1"/>
  <c r="C39" i="1" s="1"/>
  <c r="G6" i="5"/>
  <c r="G7" i="5"/>
  <c r="G8" i="5"/>
  <c r="G9" i="5"/>
  <c r="C14" i="1"/>
  <c r="G6" i="4"/>
  <c r="H6" i="4" s="1"/>
  <c r="H29" i="1"/>
  <c r="C20" i="1" l="1"/>
  <c r="C21" i="1" s="1"/>
  <c r="G12" i="4"/>
  <c r="G30" i="5"/>
  <c r="G31" i="5"/>
  <c r="G33" i="5"/>
  <c r="G32" i="5"/>
  <c r="D28" i="1"/>
  <c r="H6" i="5"/>
  <c r="I6" i="5" s="1"/>
  <c r="H7" i="5"/>
  <c r="I7" i="5" s="1"/>
  <c r="H8" i="5"/>
  <c r="I8" i="5" s="1"/>
  <c r="H9" i="5"/>
  <c r="I9" i="5"/>
  <c r="I6" i="4"/>
  <c r="J6" i="4"/>
  <c r="D14" i="1"/>
  <c r="G43" i="5" l="1"/>
  <c r="G45" i="5" s="1"/>
  <c r="C42" i="1" s="1"/>
  <c r="G42" i="5"/>
  <c r="D30" i="1"/>
  <c r="H30" i="5"/>
  <c r="I30" i="5"/>
  <c r="H31" i="5"/>
  <c r="I31" i="5" s="1"/>
  <c r="D31" i="1"/>
  <c r="F31" i="1" s="1"/>
  <c r="G31" i="1" s="1"/>
  <c r="H33" i="5"/>
  <c r="I33" i="5" s="1"/>
  <c r="H32" i="5"/>
  <c r="I32" i="5" s="1"/>
  <c r="F28" i="1"/>
  <c r="H28" i="1"/>
  <c r="E14" i="1"/>
  <c r="F14" i="1"/>
  <c r="H42" i="5"/>
  <c r="G13" i="4"/>
  <c r="H12" i="4"/>
  <c r="H30" i="1" l="1"/>
  <c r="H33" i="1" s="1"/>
  <c r="H31" i="1"/>
  <c r="F33" i="1"/>
  <c r="C34" i="1" s="1"/>
  <c r="G28" i="1"/>
  <c r="J12" i="4"/>
  <c r="D20" i="1"/>
  <c r="D21" i="1" s="1"/>
  <c r="I12" i="4"/>
  <c r="H13" i="4"/>
  <c r="F30" i="1"/>
  <c r="G30" i="1" s="1"/>
  <c r="D33" i="1"/>
  <c r="I42" i="5"/>
  <c r="G33" i="1" l="1"/>
  <c r="C41" i="1"/>
  <c r="F20" i="1"/>
  <c r="F16" i="4"/>
  <c r="C8" i="1" s="1"/>
  <c r="I13" i="4"/>
  <c r="E20" i="1"/>
  <c r="E2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BSTI</author>
  </authors>
  <commentList>
    <comment ref="F12" authorId="0" shapeId="0" xr:uid="{00000000-0006-0000-0300-000001000000}">
      <text>
        <r>
          <rPr>
            <sz val="11"/>
            <color theme="1"/>
            <rFont val="Calibri"/>
            <family val="2"/>
            <scheme val="minor"/>
          </rPr>
          <t>Balancing figure: takes the rounding of the other packages so the rollout total stays exactly 11,16,65,000.</t>
        </r>
      </text>
    </comment>
  </commentList>
</comments>
</file>

<file path=xl/sharedStrings.xml><?xml version="1.0" encoding="utf-8"?>
<sst xmlns="http://schemas.openxmlformats.org/spreadsheetml/2006/main" count="709" uniqueCount="427">
  <si>
    <t>BSTI 2.0 – Revised financial structure (work-volume based, ≤ 2 crore per approval)</t>
  </si>
  <si>
    <t>Prepared 19 Oct 2026. Basis: OrangeBD Financial Proposal V4 (Sep 2026), BSTI 2.0.pptx feature counts, BSTI priority list (serial.docx). Rollout total unchanged; amounts exclude VAT unless stated.</t>
  </si>
  <si>
    <t>Rollout total (unchanged)</t>
  </si>
  <si>
    <t>Maintenance 2030–31 (unchanged)</t>
  </si>
  <si>
    <t>Grand total (excl. VAT)</t>
  </si>
  <si>
    <t>Number of approval packages (rollout)</t>
  </si>
  <si>
    <t>Largest approval incl. VAT (crore)</t>
  </si>
  <si>
    <t>Last go-live deadline</t>
  </si>
  <si>
    <t>Approval packages</t>
  </si>
  <si>
    <t>Package</t>
  </si>
  <si>
    <t>Scope</t>
  </si>
  <si>
    <t>Value (BDT, excl. VAT)</t>
  </si>
  <si>
    <t>Value incl. VAT (BDT)</t>
  </si>
  <si>
    <t>Crore incl. VAT</t>
  </si>
  <si>
    <t>Cap check</t>
  </si>
  <si>
    <t>Work start</t>
  </si>
  <si>
    <t>Go-live deadline</t>
  </si>
  <si>
    <t>TOTAL ROLLOUT</t>
  </si>
  <si>
    <t>Year-wise cash flow: revised vs proposal (BDT, excl. VAT)</t>
  </si>
  <si>
    <t>Year</t>
  </si>
  <si>
    <t>Proposal (as submitted)</t>
  </si>
  <si>
    <t>Revised: rollout</t>
  </si>
  <si>
    <t>Revised: maintenance</t>
  </si>
  <si>
    <t>Revised: total</t>
  </si>
  <si>
    <t>Difference, revised − proposal (lakh)</t>
  </si>
  <si>
    <t>Revised incl. VAT</t>
  </si>
  <si>
    <t>2026</t>
  </si>
  <si>
    <t>2027</t>
  </si>
  <si>
    <t>2028</t>
  </si>
  <si>
    <t>2029</t>
  </si>
  <si>
    <t>2030</t>
  </si>
  <si>
    <t>2031</t>
  </si>
  <si>
    <t>Total</t>
  </si>
  <si>
    <t>Check: revised total equals proposal total</t>
  </si>
  <si>
    <t>Checks</t>
  </si>
  <si>
    <t>Milestone percentages total 100%</t>
  </si>
  <si>
    <t>Work Volume allocation equals development pool</t>
  </si>
  <si>
    <t>Package total equals rollout total</t>
  </si>
  <si>
    <t>Every Work Volume row assigned to a package</t>
  </si>
  <si>
    <t>All rollout packages within the 2-crore cap</t>
  </si>
  <si>
    <t>Payment schedule reconciles to rollout and maintenance</t>
  </si>
  <si>
    <t>Each maintenance tranche within the cap</t>
  </si>
  <si>
    <t>Original offer recomputes to proposal totals</t>
  </si>
  <si>
    <t>Accounts, CM, PCR and labs (WP1–WP3) live by the Dec 2027 deadline</t>
  </si>
  <si>
    <t>Inputs and assumptions</t>
  </si>
  <si>
    <t>Blue = input you can change. Yellow = BSTI assumption to confirm. Black = formula.</t>
  </si>
  <si>
    <t>Rollout total, OrangeBD Financial Proposal V4 (BDT, excl. VAT)</t>
  </si>
  <si>
    <t>Source: Financial Proposal V4, p.4 (Aug 2026 – Dec 2029). Kept unchanged as instructed.</t>
  </si>
  <si>
    <t>Interim O&amp;M of 5 live services, Aug–Dec 2026 (BDT)</t>
  </si>
  <si>
    <t>Source: Financial Proposal V4, p.4 (5 services × 65,000 × 5 months = 16,25,000). Kept as a separate O&amp;M package, not development. Set to 0 to allocate the whole rollout by work volume.</t>
  </si>
  <si>
    <t>Development pool allocated by work volume (BDT)</t>
  </si>
  <si>
    <t>Formula</t>
  </si>
  <si>
    <t>Maximum value per approval (BDT)</t>
  </si>
  <si>
    <t>User instruction: at most 2 crore can be approved at a time.</t>
  </si>
  <si>
    <t>VAT and taxes for the approval check</t>
  </si>
  <si>
    <t>Assumption: 15% standard VAT. Proposal prices exclude VAT (p.3). Confirm the applicable VAT/AIT rate with Accounts; set to 0 if the 2-crore limit applies to the price excluding VAT.</t>
  </si>
  <si>
    <t>Apply the cap to the value including VAT? (Y/N)</t>
  </si>
  <si>
    <t>Y</t>
  </si>
  <si>
    <t>Y = check package value incl. VAT against the cap (safer). N = check value excl. VAT.</t>
  </si>
  <si>
    <t>Maintenance total 2030–2031 (BDT, excl. VAT)</t>
  </si>
  <si>
    <t>Source: Financial Proposal V4, p.5 (33 × 95,000 × 24 = 7,52,40,000). Unchanged.</t>
  </si>
  <si>
    <t>Maintenance period (months)</t>
  </si>
  <si>
    <t>Jan 2030 – Dec 2031</t>
  </si>
  <si>
    <t>Maintenance months per approval</t>
  </si>
  <si>
    <t>Quarterly, matching the proposal's payment mode (p.3). 6 months fits the cap only if VAT is excluded from it.</t>
  </si>
  <si>
    <t>Maintenance start</t>
  </si>
  <si>
    <t>Source: Financial Proposal V4, p.5</t>
  </si>
  <si>
    <t>Round package values to (digits, -3 = nearest 1,000)</t>
  </si>
  <si>
    <t>Last package absorbs the rounding so the total stays exactly equal to the rollout total.</t>
  </si>
  <si>
    <t>Deadline: Accounts, CM, PCR and lab testing fully running</t>
  </si>
  <si>
    <t>User instruction (19 Oct 2026): lab testing cannot be delayed; CM + PCR + labs + Accounts must be fully running within December 2027. Applies to WP1–WP3.</t>
  </si>
  <si>
    <t>Work-type weighting factor</t>
  </si>
  <si>
    <t>Factor</t>
  </si>
  <si>
    <t>Meaning</t>
  </si>
  <si>
    <t>N</t>
  </si>
  <si>
    <t>N = New build: first workflow of its family; full feature count counts as work.</t>
  </si>
  <si>
    <t>V</t>
  </si>
  <si>
    <t>V = Variant: renewal / brand inclusion / re-certification / scope inclusion of a family built in the same package. Session 1 found these SRS sections 85–99% identical text (difflib), so most of the work is configuration.</t>
  </si>
  <si>
    <t>L</t>
  </si>
  <si>
    <t>L = Live in v1: already running (HRM, Payroll, Standards sale, CM new, PCR new). Work is re-platforming into v2: 23-office organogram, SSO, shared engines and data migration.</t>
  </si>
  <si>
    <t>Set every factor to 1.00 to allocate purely by the deck's feature counts.</t>
  </si>
  <si>
    <t>Payment milestone (each development package)</t>
  </si>
  <si>
    <t>% of package</t>
  </si>
  <si>
    <t>Acceptance evidence</t>
  </si>
  <si>
    <t>M1 Design &amp; prototype sign-off</t>
  </si>
  <si>
    <t>Package SRS detail (forms, fields, fee rules, desk roles, acceptance criteria) and clickable prototype approved by the wing.</t>
  </si>
  <si>
    <t>M2 UAT acceptance</t>
  </si>
  <si>
    <t>UAT signed by the wing focal point and ICT; zero open critical defects.</t>
  </si>
  <si>
    <t>M3 Go-live</t>
  </si>
  <si>
    <t>All services in the package live at HQ and the relevant regional offices with real transactions; data migrated; training done.</t>
  </si>
  <si>
    <t>M4 End of stabilisation</t>
  </si>
  <si>
    <t>Retention: released after the stabilisation period with SLA met; source code and documentation deposited.</t>
  </si>
  <si>
    <t>Check: milestones total 100%</t>
  </si>
  <si>
    <t>Work volume and cost allocation by priority (serial.docx order)</t>
  </si>
  <si>
    <t>Volume = feature count per service from OrangeBD's BSTI 2.0.pptx (slides 14–46). Work units = features used × work-type factor. Each row's cost = its share of work units × development pool. Yellow = BSTI estimate where the SRS/deck gives no scope.</t>
  </si>
  <si>
    <t>Priority</t>
  </si>
  <si>
    <t>Serial ref</t>
  </si>
  <si>
    <t>Service / module (as in serial.docx)</t>
  </si>
  <si>
    <t>Deck service</t>
  </si>
  <si>
    <t>Deck service title</t>
  </si>
  <si>
    <t>Modules (deck)</t>
  </si>
  <si>
    <t>Features (deck, parent service)</t>
  </si>
  <si>
    <t>Features used</t>
  </si>
  <si>
    <t>Basis for features used</t>
  </si>
  <si>
    <t>Work type (N/V/L)</t>
  </si>
  <si>
    <t>Include? (Y/N)</t>
  </si>
  <si>
    <t>Work units</t>
  </si>
  <si>
    <t>Share of work</t>
  </si>
  <si>
    <t>Allocated (BDT)</t>
  </si>
  <si>
    <t>Allocated (lakh)</t>
  </si>
  <si>
    <t>1</t>
  </si>
  <si>
    <t>BSTI 2.0 Transformation: common platform (unified portal &amp; SSO, 23-office organogram, workflow / fee-payment / certificate-QR engines, v1 data migration)</t>
  </si>
  <si>
    <t>WP1</t>
  </si>
  <si>
    <t>—</t>
  </si>
  <si>
    <t>Not a separate deck service (shown in SRS architecture, p.17)</t>
  </si>
  <si>
    <t>BSTI estimate: no feature list in SRS</t>
  </si>
  <si>
    <t>1(i)</t>
  </si>
  <si>
    <t>HRM &amp; Leave</t>
  </si>
  <si>
    <t>S01</t>
  </si>
  <si>
    <t>HRM &amp; Leave Management</t>
  </si>
  <si>
    <t>Deck slide 14</t>
  </si>
  <si>
    <t>1(ii)</t>
  </si>
  <si>
    <t>Payroll</t>
  </si>
  <si>
    <t>S02</t>
  </si>
  <si>
    <t>Payroll Management</t>
  </si>
  <si>
    <t>Deck slide 15</t>
  </si>
  <si>
    <t>1(iii)</t>
  </si>
  <si>
    <t>BDS sell (Standards sale)</t>
  </si>
  <si>
    <t>S23*</t>
  </si>
  <si>
    <t>Replaces S23 slot; no scope in SRS or deck</t>
  </si>
  <si>
    <t>BSTI estimate: move into portal/SSO, link to CM application, shared payment</t>
  </si>
  <si>
    <t>2</t>
  </si>
  <si>
    <t>Accounts</t>
  </si>
  <si>
    <t>S03</t>
  </si>
  <si>
    <t>Finance &amp; Accounts Management</t>
  </si>
  <si>
    <t>Deck slide 16</t>
  </si>
  <si>
    <t>3(i)</t>
  </si>
  <si>
    <t>CM Non-Scope Products (new licence)</t>
  </si>
  <si>
    <t>WP2</t>
  </si>
  <si>
    <t>S05</t>
  </si>
  <si>
    <t>CM Mandatory New Certification</t>
  </si>
  <si>
    <t>Deck slide 18</t>
  </si>
  <si>
    <t>3(ii)</t>
  </si>
  <si>
    <t>CM Non-Scope Product Renewal</t>
  </si>
  <si>
    <t>S06</t>
  </si>
  <si>
    <t>CM Mandatory Renewal</t>
  </si>
  <si>
    <t>Deck slide 19</t>
  </si>
  <si>
    <t>3(iii)</t>
  </si>
  <si>
    <t>CM Non-Scope Brand Inclusion</t>
  </si>
  <si>
    <t>S07</t>
  </si>
  <si>
    <t>CM Mandatory Brand Inclusion</t>
  </si>
  <si>
    <t>Deck slide 20</t>
  </si>
  <si>
    <t>3(iv)</t>
  </si>
  <si>
    <t>CM Scope Product</t>
  </si>
  <si>
    <t>S08</t>
  </si>
  <si>
    <t>CM Scope New Certification</t>
  </si>
  <si>
    <t>Deck slide 21</t>
  </si>
  <si>
    <t>3(v)</t>
  </si>
  <si>
    <t>CM Scope Product Renewal</t>
  </si>
  <si>
    <t>S09</t>
  </si>
  <si>
    <t>CM Scope Renewal Certification</t>
  </si>
  <si>
    <t>Deck slide 22</t>
  </si>
  <si>
    <t>3(vi)</t>
  </si>
  <si>
    <t>CM Scope Brand Inclusion</t>
  </si>
  <si>
    <t>S10</t>
  </si>
  <si>
    <t>Deck slide 23</t>
  </si>
  <si>
    <t>Footnote</t>
  </si>
  <si>
    <t>All types of Suspension / Cancellation / Withdrawal of certificates and licences (common module, reused by every later package)</t>
  </si>
  <si>
    <t>Not in deck; MSC/CM gaps flagged by wings in 2025</t>
  </si>
  <si>
    <t>BSTI estimate</t>
  </si>
  <si>
    <t>4</t>
  </si>
  <si>
    <t>Chemical Testing</t>
  </si>
  <si>
    <t>WP3</t>
  </si>
  <si>
    <t>S14</t>
  </si>
  <si>
    <t>Deck slide 27</t>
  </si>
  <si>
    <t>5</t>
  </si>
  <si>
    <t>Physical Testing</t>
  </si>
  <si>
    <t>S15</t>
  </si>
  <si>
    <t>Deck slide 28</t>
  </si>
  <si>
    <t>6</t>
  </si>
  <si>
    <t>Energy Meter Testing</t>
  </si>
  <si>
    <t>S16</t>
  </si>
  <si>
    <t>Physical Lab – Energy Meter</t>
  </si>
  <si>
    <t>Deck slide 29</t>
  </si>
  <si>
    <t>7(i)</t>
  </si>
  <si>
    <t>PCR new</t>
  </si>
  <si>
    <t>S19</t>
  </si>
  <si>
    <t>PCR Registration New</t>
  </si>
  <si>
    <t>Deck slide 32</t>
  </si>
  <si>
    <t>7(ii)</t>
  </si>
  <si>
    <t>PCR Renewal</t>
  </si>
  <si>
    <t>S20</t>
  </si>
  <si>
    <t>PCR Registration Renewal</t>
  </si>
  <si>
    <t>Deck slide 33</t>
  </si>
  <si>
    <t>7(iii)</t>
  </si>
  <si>
    <t>PCR Brand Inclusion</t>
  </si>
  <si>
    <t>S21</t>
  </si>
  <si>
    <t>Deck slide 34</t>
  </si>
  <si>
    <t>8</t>
  </si>
  <si>
    <t>Mobile Court</t>
  </si>
  <si>
    <t>WP4</t>
  </si>
  <si>
    <t>S33</t>
  </si>
  <si>
    <t>Mobile Court &amp; Surveillance e-Service</t>
  </si>
  <si>
    <t>Deck slide 46 modules: Mobile Court 18 + Product 5 + Tracking 3</t>
  </si>
  <si>
    <t>9(i)</t>
  </si>
  <si>
    <t>Surveillance – Operational Activities</t>
  </si>
  <si>
    <t>Deck slide 46: remaining 23 features (Surveillance 10, Sample 7, Test report 2, Admin 2, Workflow 2) split equally</t>
  </si>
  <si>
    <t>9(ii)</t>
  </si>
  <si>
    <t>Surveillance – List of Illegal Establishments</t>
  </si>
  <si>
    <t>As above</t>
  </si>
  <si>
    <t>10(i)</t>
  </si>
  <si>
    <t>Verification – Petrol Pump</t>
  </si>
  <si>
    <t>S32</t>
  </si>
  <si>
    <t>Verification Service</t>
  </si>
  <si>
    <t>Deck slide 45; split equally over 4 sub-types</t>
  </si>
  <si>
    <t>10(ii)</t>
  </si>
  <si>
    <t>Verification – Weighing Scale (general)</t>
  </si>
  <si>
    <t>10(iii)</t>
  </si>
  <si>
    <t>Verification – Weighing Scale (Association)</t>
  </si>
  <si>
    <t>10(iv)</t>
  </si>
  <si>
    <t>Verification – Weighbridge</t>
  </si>
  <si>
    <t>11(i)</t>
  </si>
  <si>
    <t>Tank Calibration – Tank Lorry</t>
  </si>
  <si>
    <t>S26</t>
  </si>
  <si>
    <t>Tank Lorry Calibration</t>
  </si>
  <si>
    <t>Deck slide 39; split equally over 2 sub-types</t>
  </si>
  <si>
    <t>11(ii)</t>
  </si>
  <si>
    <t>Tank Calibration – Road-Tanker</t>
  </si>
  <si>
    <t>12(i)</t>
  </si>
  <si>
    <t>Metrology License New</t>
  </si>
  <si>
    <t>S24</t>
  </si>
  <si>
    <t>Metrology License Issue</t>
  </si>
  <si>
    <t>Deck slide 37</t>
  </si>
  <si>
    <t>12(ii)</t>
  </si>
  <si>
    <t>Metrology License Renewal</t>
  </si>
  <si>
    <t>S25</t>
  </si>
  <si>
    <t>Deck slide 38</t>
  </si>
  <si>
    <t>13(i)</t>
  </si>
  <si>
    <t>Storage Tank Calibration – Underground</t>
  </si>
  <si>
    <t>S30</t>
  </si>
  <si>
    <t>Storage Tank Calibration</t>
  </si>
  <si>
    <t>Deck slide 43; split equally over 5 sub-types</t>
  </si>
  <si>
    <t>13(ii)</t>
  </si>
  <si>
    <t>Storage Tank Calibration – Overhead</t>
  </si>
  <si>
    <t>13(iii)</t>
  </si>
  <si>
    <t>Storage Tank Calibration – Oil-Tanker</t>
  </si>
  <si>
    <t>13(iv)</t>
  </si>
  <si>
    <t>Storage Tank Calibration – Barge</t>
  </si>
  <si>
    <t>13(v)</t>
  </si>
  <si>
    <t>Storage Tank Calibration – Lighter</t>
  </si>
  <si>
    <t>14(i)</t>
  </si>
  <si>
    <t>MSC Issue</t>
  </si>
  <si>
    <t>WP5</t>
  </si>
  <si>
    <t>S17</t>
  </si>
  <si>
    <t>MSC Certification</t>
  </si>
  <si>
    <t>Deck slide 30</t>
  </si>
  <si>
    <t>14(ii)</t>
  </si>
  <si>
    <t>MSC Renewal</t>
  </si>
  <si>
    <t>S18</t>
  </si>
  <si>
    <t>MSC Re-certification</t>
  </si>
  <si>
    <t>Deck slide 31</t>
  </si>
  <si>
    <t>14(iii)</t>
  </si>
  <si>
    <t>MSC Scope Inclusion</t>
  </si>
  <si>
    <t>Not in deck or SRS</t>
  </si>
  <si>
    <t>BSTI estimate (similar to a brand / scope inclusion)</t>
  </si>
  <si>
    <t>15(i)</t>
  </si>
  <si>
    <t>Halal Certificate New</t>
  </si>
  <si>
    <t>WP6</t>
  </si>
  <si>
    <t>S11</t>
  </si>
  <si>
    <t>CM Halal Certification</t>
  </si>
  <si>
    <t>Deck slide 24</t>
  </si>
  <si>
    <t>15(ii)</t>
  </si>
  <si>
    <t>Halal Recertification</t>
  </si>
  <si>
    <t>S12</t>
  </si>
  <si>
    <t>CM Halal Renewal Certification</t>
  </si>
  <si>
    <t>Deck slide 25</t>
  </si>
  <si>
    <t>15(iii)</t>
  </si>
  <si>
    <t>Halal Brand Inclusion</t>
  </si>
  <si>
    <t>S13</t>
  </si>
  <si>
    <t>CM Halal Brand Inclusion</t>
  </si>
  <si>
    <t>Deck slide 26</t>
  </si>
  <si>
    <t>16(i)</t>
  </si>
  <si>
    <t>LPG Bottling Plant / LPG Filling / Fuel Filling Station – New Registration</t>
  </si>
  <si>
    <t>S27</t>
  </si>
  <si>
    <t>LPG / Fuel Station Registration</t>
  </si>
  <si>
    <t>Deck slide 40</t>
  </si>
  <si>
    <t>16(ii)</t>
  </si>
  <si>
    <t>LPG Bottling Plant / LPG Filling / Fuel Filling Station – Renewal</t>
  </si>
  <si>
    <t>S28</t>
  </si>
  <si>
    <t>LPG / Fuel Station Renewal</t>
  </si>
  <si>
    <t>Deck slide 41</t>
  </si>
  <si>
    <t>17</t>
  </si>
  <si>
    <t>Case Management</t>
  </si>
  <si>
    <t>S04</t>
  </si>
  <si>
    <t>Case Management System</t>
  </si>
  <si>
    <t>Deck slide 17</t>
  </si>
  <si>
    <t>18</t>
  </si>
  <si>
    <t>I&amp;S Metrology Calibration (NML)</t>
  </si>
  <si>
    <t>WP7</t>
  </si>
  <si>
    <t>S31</t>
  </si>
  <si>
    <t>Industrial &amp; Scientific Metrology Calibration</t>
  </si>
  <si>
    <t>Deck slide 44</t>
  </si>
  <si>
    <t>19</t>
  </si>
  <si>
    <t>Building (flat) / Establishment Measurement</t>
  </si>
  <si>
    <t>S29</t>
  </si>
  <si>
    <t>Building / Establishment Measurement</t>
  </si>
  <si>
    <t>Deck slide 42</t>
  </si>
  <si>
    <t>20</t>
  </si>
  <si>
    <t>API integration with BSW (Bangladesh Single Window)</t>
  </si>
  <si>
    <t>Footnote*</t>
  </si>
  <si>
    <t>Registered Importer/Exporter Certificate Management</t>
  </si>
  <si>
    <t>S22</t>
  </si>
  <si>
    <t>Registered Importer/Exporter Certificate</t>
  </si>
  <si>
    <t>Deck slide 35 (marked * in serial.docx)</t>
  </si>
  <si>
    <t>Registered Importer/Exporter Certificate Management – Renewal</t>
  </si>
  <si>
    <t>S23</t>
  </si>
  <si>
    <t>Registered Importer/Exporter Renewal</t>
  </si>
  <si>
    <t>Deck slide 36 (marked * in serial.docx)</t>
  </si>
  <si>
    <t>TOTAL</t>
  </si>
  <si>
    <t>Check: allocation equals development pool</t>
  </si>
  <si>
    <t>Implied cost per work unit (BDT)</t>
  </si>
  <si>
    <t>Approval packages (each ≤ 2 crore) and development time limits</t>
  </si>
  <si>
    <t>Packages follow the serial.docx priority. Each is approved, contracted and paid separately. Schedule inputs (blue) are months; dates are calendar month-ends. Time limit = go-live deadline in the work order.</t>
  </si>
  <si>
    <t>Priorities (serial.docx)</t>
  </si>
  <si>
    <t>Value by work share (BDT)</t>
  </si>
  <si>
    <t>Package value (BDT, excl. VAT)</t>
  </si>
  <si>
    <t>VAT &amp; taxes (BDT)</t>
  </si>
  <si>
    <t>Value incl. VAT (crore)</t>
  </si>
  <si>
    <t>Within 2-crore cap?</t>
  </si>
  <si>
    <t>Design (m)</t>
  </si>
  <si>
    <t>Build (m)</t>
  </si>
  <si>
    <t>UAT (m)</t>
  </si>
  <si>
    <t>Go-live (m)</t>
  </si>
  <si>
    <t>Stabilisation (m)</t>
  </si>
  <si>
    <t>Time limit to go-live (months)</t>
  </si>
  <si>
    <t>Approval needed by</t>
  </si>
  <si>
    <t>M1 Design sign-off</t>
  </si>
  <si>
    <t>M3 Go-live deadline</t>
  </si>
  <si>
    <t>M4 Stabilisation end</t>
  </si>
  <si>
    <t>Services in package</t>
  </si>
  <si>
    <t>WP0</t>
  </si>
  <si>
    <t>Interim operation &amp; maintenance of the 5 live services (Aug–Dec 2026), as proposed</t>
  </si>
  <si>
    <t>Live services</t>
  </si>
  <si>
    <t>BSTI 2.0 transformation: common platform, HRM &amp; Leave, Payroll, Standards (BDS) sale; Accounts</t>
  </si>
  <si>
    <t>1–2</t>
  </si>
  <si>
    <t>CM licence services (non-scope &amp; scope: new, renewal, brand inclusion) + common suspension / cancellation / withdrawal</t>
  </si>
  <si>
    <t>3</t>
  </si>
  <si>
    <t>Laboratory testing (Chemical, Physical, Energy Meter) and PCR services</t>
  </si>
  <si>
    <t>4–7</t>
  </si>
  <si>
    <t>Enforcement &amp; field metrology: Mobile Court, Surveillance, Verification, Tank Calibration, Metrology Licence, Storage Tank Calibration</t>
  </si>
  <si>
    <t>8–13</t>
  </si>
  <si>
    <t>MSC services (issue, renewal, scope inclusion)</t>
  </si>
  <si>
    <t>14</t>
  </si>
  <si>
    <t>Halal certification, LPG / Fuel station registration, Case Management</t>
  </si>
  <si>
    <t>15–17</t>
  </si>
  <si>
    <t>I&amp;S Metrology Calibration (NML), Building measurement, BSW API integration, Importer/Exporter certificates*</t>
  </si>
  <si>
    <t>18–21</t>
  </si>
  <si>
    <t>Check: package total equals rollout total in the proposal</t>
  </si>
  <si>
    <t>Check: every included Work Volume row is assigned to a package</t>
  </si>
  <si>
    <t>Largest single approval (crore, incl. VAT)</t>
  </si>
  <si>
    <t>Overall development time limit: from first work start to last go-live (months)</t>
  </si>
  <si>
    <t>Milestone payment schedule</t>
  </si>
  <si>
    <t>Payment only on accepted milestones (see Inputs for acceptance evidence). Maintenance is unchanged from the proposal and approved in quarterly tranches.</t>
  </si>
  <si>
    <t>Phase</t>
  </si>
  <si>
    <t>Milestone</t>
  </si>
  <si>
    <t>Due by</t>
  </si>
  <si>
    <t>Amount (BDT, excl. VAT)</t>
  </si>
  <si>
    <t>Amount incl. VAT (BDT)</t>
  </si>
  <si>
    <t>Rollout</t>
  </si>
  <si>
    <t>Interim O&amp;M lump sum, Aug–Dec 2026</t>
  </si>
  <si>
    <t>Maintenance</t>
  </si>
  <si>
    <t>MNT</t>
  </si>
  <si>
    <t>Rollout subtotal</t>
  </si>
  <si>
    <t>Maintenance subtotal</t>
  </si>
  <si>
    <t>Check: rollout payments = rollout total; maintenance = proposal</t>
  </si>
  <si>
    <t>Check: each maintenance tranche within the cap</t>
  </si>
  <si>
    <t>OrangeBD offer as submitted (Financial Proposal V4), for comparison</t>
  </si>
  <si>
    <t>Source: BSTI 2.0 - Financial Proposal V4.pdf, pages 4–5. Inputs typed from the PDF; payments recomputed by formula.</t>
  </si>
  <si>
    <t>Period</t>
  </si>
  <si>
    <t>Rate / service / month (BDT)</t>
  </si>
  <si>
    <t>Months</t>
  </si>
  <si>
    <t>Payment (BDT)</t>
  </si>
  <si>
    <t>Aug–Dec 2026</t>
  </si>
  <si>
    <t>Jan–Mar 2027</t>
  </si>
  <si>
    <t>Apr–Jun 2027</t>
  </si>
  <si>
    <t>Jul–Sep 2027</t>
  </si>
  <si>
    <t>Oct–Dec 2027</t>
  </si>
  <si>
    <t>Jan–Mar 2028</t>
  </si>
  <si>
    <t>Apr–Jun 2028</t>
  </si>
  <si>
    <t>Jul–Sep 2028</t>
  </si>
  <si>
    <t>Oct–Dec 2028</t>
  </si>
  <si>
    <t>Jan–Mar 2029</t>
  </si>
  <si>
    <t>Apr–Jun 2029</t>
  </si>
  <si>
    <t>Jul–Sep 2029</t>
  </si>
  <si>
    <t>Oct–Dec 2029</t>
  </si>
  <si>
    <t>2030 (maintenance)</t>
  </si>
  <si>
    <t>2031 (maintenance)</t>
  </si>
  <si>
    <t>Rollout total</t>
  </si>
  <si>
    <t>Maintenance total</t>
  </si>
  <si>
    <t>Grand total</t>
  </si>
  <si>
    <t>Check vs proposal (11,16,65,000 / 7,52,40,000)</t>
  </si>
  <si>
    <t>Development schedule (month by month)</t>
  </si>
  <si>
    <t>D = design &amp; prototype · B = build · U = UAT · G = go-live (deadline at month-end) · S = stabilisation / warranty. Driven by the schedule inputs on Packages.</t>
  </si>
  <si>
    <t>Packages in parallel (design/build/UAT/go-live)</t>
  </si>
  <si>
    <t>Method, assumptions and points to confirm</t>
  </si>
  <si>
    <t>Method</t>
  </si>
  <si>
    <t>The rollout total of BDT 11,16,65,000 (Financial Proposal V4, p.4) is kept unchanged. Only its split changes: from 'per live service per month' to 'per accepted deliverable'.</t>
  </si>
  <si>
    <t>BDT 16,25,000 for Aug–Dec 2026 is kept as a separate O&amp;M package (WP0) because it pays for running the 5 live services, not new work. The remaining BDT 11,00,40,000 is allocated by work volume.</t>
  </si>
  <si>
    <t>Work volume = feature count per service from OrangeBD's own deck (BSTI 2.0.pptx, slides 14–46; 440 modules / 2,168 features in total). Where serial.docx splits one deck service into sub-types (Verification, Tank, Storage Tank, Surveillance), the parent's features are split equally.</t>
  </si>
  <si>
    <t>Features are weighted by work type: New = 1.0, Variant (renewal / brand / scope inclusion / re-certification) = 0.5, Live in v1 (re-platforming + migration) = 0.5. Session 1 found the variant SRS sections 85–99% identical. Factors are inputs; set all to 1.0 for a pure feature-count split.</t>
  </si>
  <si>
    <t>Packages follow serial.docx priority and are cut so that each approval, including 15% VAT, stays under BDT 2 crore. Change a row's package code on 'Work Volume' to move it; the cap check flags any breach.</t>
  </si>
  <si>
    <t>Payments are tied to accepted milestones (20% design sign-off / 30% UAT / 40% go-live / 10% after stabilisation), replacing monthly per-service billing. Each package price includes support of its services until maintenance starts in Jan 2030.</t>
  </si>
  <si>
    <t>Maintenance 2030–31 (BDT 7,52,40,000) is unchanged. Because a full year (3.76 crore) exceeds the cap, it is approved in quarterly tranches of BDT 94,05,000.</t>
  </si>
  <si>
    <t>Development time limits</t>
  </si>
  <si>
    <t>Core services first: Accounts (WP1), CM (WP2), labs and PCR (WP3) go live by 30 Nov 2027, so they are fully running in December 2027 (user instruction). WP3 starts first (Feb 2027, 10 months) because CM scope, Halal and MSC all depend on lab testing; CM starts Mar 2027 (9 months) and integrates with the lab module. WP1–WP3 run in parallel Mar–Jun 2027.</t>
  </si>
  <si>
    <t>Approvals for WP1, WP3 and WP2 are needed one per month (by 30 Nov 2026, 31 Dec 2026 and 31 Jan 2027), each under 2 crore. WP4–WP7 follow from Apr 2028, staggered 3–6 months apart; final go-live 31 Dec 2029, the same end date as the proposal.</t>
  </si>
  <si>
    <t>Suggested contract clause (to confirm with the procurement / legal cell): liquidated damages for delay past the go-live deadline, e.g. 0.05% of the package value per day, capped at 10% (PPR and standard tender document terms apply).</t>
  </si>
  <si>
    <t>BSTI estimates (yellow cells): no scope in the SRS or deck</t>
  </si>
  <si>
    <t>Common platform (unified portal and SSO, 23-office organogram, workflow / fee-payment / certificate-QR engines, v1 data migration): 60 features.</t>
  </si>
  <si>
    <t>BDS (Standards) sale re-platforming: 40 features. It is live in v1, has no SRS section, and takes service 23's slot.</t>
  </si>
  <si>
    <t>Suspension / cancellation / withdrawal of all certificates and licences (serial.docx footnote): 30 features, built once in WP2 and reused.</t>
  </si>
  <si>
    <t>MSC Scope Inclusion: 50 features. BSW API integration: 30 features.</t>
  </si>
  <si>
    <t>Points to confirm</t>
  </si>
  <si>
    <t>Registered Importer/Exporter (new and renewal) are marked * in serial.docx. They are included as the last priority (WP7). Set 'Include?' to N on 'Work Volume' to drop them; the freed amount is spread over the rest automatically.</t>
  </si>
  <si>
    <t>Metrology dealer licence (earlier proposed as replacement for service 22) is not in serial.docx and is not costed here.</t>
  </si>
  <si>
    <t>VAT/tax rate for the approval check (15% assumed), and whether the 2-crore limit is measured including VAT.</t>
  </si>
  <si>
    <t>Feature counts are OrangeBD's own; they measure documented scope, not effort. An independent effort estimate would firm up the split.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</si>
</sst>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gt;=10000000]##\,##\,##\,##0;[&gt;=100000]##\,##\,##0;##,##0"/>
    <numFmt numFmtId="165" formatCode="0.0%;\(0.0%\);&quot;-&quot;"/>
    <numFmt numFmtId="166" formatCode="dd\-mmm\-yyyy"/>
    <numFmt numFmtId="167" formatCode="0.0"/>
    <numFmt numFmtId="168" formatCode="#,##0.00;\(#,##0.00\);&quot;-&quot;"/>
    <numFmt numFmtId="169" formatCode="0.000;\(0.000\);&quot;-&quot;"/>
  </numFmts>
  <fonts count="10" x14ac:knownFonts="1">
    <font>
      <sz val="11"/>
      <color theme="1"/>
      <name val="Calibri"/>
      <family val="2"/>
      <scheme val="minor"/>
    </font>
    <font>
      <b/>
      <sz val="14"/>
      <name val="Arial"/>
    </font>
    <font>
      <i/>
      <sz val="9"/>
      <color rgb="FF595959"/>
      <name val="Arial"/>
    </font>
    <font>
      <sz val="10"/>
      <name val="Arial"/>
    </font>
    <font>
      <sz val="10"/>
      <color rgb="FF0000FF"/>
      <name val="Arial"/>
    </font>
    <font>
      <b/>
      <sz val="10"/>
      <name val="Arial"/>
    </font>
    <font>
      <b/>
      <sz val="10"/>
      <color rgb="FFFFFFFF"/>
      <name val="Arial"/>
    </font>
    <font>
      <sz val="10"/>
      <color rgb="FF008000"/>
      <name val="Arial"/>
    </font>
    <font>
      <b/>
      <sz val="8"/>
      <name val="Arial"/>
    </font>
    <font>
      <sz val="8"/>
      <name val="Arial"/>
    </font>
  </fonts>
  <fills count="6">
    <fill>
      <patternFill patternType="none"/>
    </fill>
    <fill>
      <patternFill patternType="gray125"/>
    </fill>
    <fill>
      <patternFill patternType="solid">
        <fgColor rgb="FFFFFF00"/>
      </patternFill>
    </fill>
    <fill>
      <patternFill patternType="solid">
        <fgColor rgb="FFF2F2F2"/>
      </patternFill>
    </fill>
    <fill>
      <patternFill patternType="solid">
        <fgColor rgb="FF1F4E78"/>
      </patternFill>
    </fill>
    <fill>
      <patternFill patternType="solid">
        <fgColor rgb="FFDDEBF7"/>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s>
  <cellStyleXfs count="1">
    <xf numFmtId="0" fontId="0" fillId="0" borderId="0"/>
  </cellStyleXfs>
  <cellXfs count="66">
    <xf numFmtId="0" fontId="0" fillId="0" borderId="0" xfId="0"/>
    <xf numFmtId="0" fontId="1" fillId="0" borderId="0" xfId="0" applyFont="1"/>
    <xf numFmtId="0" fontId="5" fillId="0" borderId="1" xfId="0" applyFont="1" applyBorder="1" applyAlignment="1">
      <alignment vertical="top" wrapText="1"/>
    </xf>
    <xf numFmtId="164" fontId="7" fillId="0" borderId="1" xfId="0" applyNumberFormat="1" applyFont="1" applyBorder="1" applyAlignment="1">
      <alignment vertical="top" wrapText="1"/>
    </xf>
    <xf numFmtId="1" fontId="7" fillId="0" borderId="1" xfId="0" applyNumberFormat="1" applyFont="1" applyBorder="1" applyAlignment="1">
      <alignment vertical="top" wrapText="1"/>
    </xf>
    <xf numFmtId="169" fontId="7" fillId="0" borderId="1" xfId="0" applyNumberFormat="1" applyFont="1" applyBorder="1" applyAlignment="1">
      <alignment vertical="top" wrapText="1"/>
    </xf>
    <xf numFmtId="166" fontId="7" fillId="0" borderId="1" xfId="0" applyNumberFormat="1" applyFont="1" applyBorder="1" applyAlignment="1">
      <alignment vertical="top" wrapText="1"/>
    </xf>
    <xf numFmtId="0" fontId="5" fillId="0" borderId="0" xfId="0" applyFont="1" applyAlignment="1">
      <alignment vertical="top" wrapText="1"/>
    </xf>
    <xf numFmtId="0" fontId="6" fillId="4" borderId="1" xfId="0" applyFont="1" applyFill="1" applyBorder="1" applyAlignment="1">
      <alignment horizontal="center" vertical="top" wrapText="1"/>
    </xf>
    <xf numFmtId="0" fontId="7" fillId="0" borderId="1" xfId="0" applyFont="1" applyBorder="1" applyAlignment="1">
      <alignment horizontal="center" vertical="top" wrapText="1"/>
    </xf>
    <xf numFmtId="0" fontId="7" fillId="0" borderId="1" xfId="0" applyFont="1" applyBorder="1" applyAlignment="1">
      <alignment vertical="top" wrapText="1"/>
    </xf>
    <xf numFmtId="0" fontId="0" fillId="5" borderId="1" xfId="0" applyFill="1" applyBorder="1"/>
    <xf numFmtId="0" fontId="5" fillId="5" borderId="1" xfId="0" applyFont="1" applyFill="1" applyBorder="1" applyAlignment="1">
      <alignment vertical="top" wrapText="1"/>
    </xf>
    <xf numFmtId="164" fontId="5" fillId="5" borderId="1" xfId="0" applyNumberFormat="1" applyFont="1" applyFill="1" applyBorder="1" applyAlignment="1">
      <alignment vertical="top" wrapText="1"/>
    </xf>
    <xf numFmtId="169" fontId="5" fillId="5" borderId="1" xfId="0" applyNumberFormat="1" applyFont="1" applyFill="1" applyBorder="1" applyAlignment="1">
      <alignment vertical="top" wrapText="1"/>
    </xf>
    <xf numFmtId="0" fontId="4" fillId="0" borderId="1" xfId="0" applyFont="1" applyBorder="1" applyAlignment="1">
      <alignment horizontal="center" vertical="top" wrapText="1"/>
    </xf>
    <xf numFmtId="164" fontId="3" fillId="0" borderId="1" xfId="0" applyNumberFormat="1" applyFont="1" applyBorder="1" applyAlignment="1">
      <alignment vertical="top" wrapText="1"/>
    </xf>
    <xf numFmtId="168" fontId="3" fillId="0" borderId="1" xfId="0" applyNumberFormat="1" applyFont="1" applyBorder="1" applyAlignment="1">
      <alignment vertical="top" wrapText="1"/>
    </xf>
    <xf numFmtId="0" fontId="0" fillId="5" borderId="0" xfId="0" applyFill="1"/>
    <xf numFmtId="168" fontId="5" fillId="5" borderId="1" xfId="0" applyNumberFormat="1" applyFont="1" applyFill="1" applyBorder="1" applyAlignment="1">
      <alignment vertical="top" wrapText="1"/>
    </xf>
    <xf numFmtId="0" fontId="3" fillId="0" borderId="1" xfId="0" applyFont="1" applyBorder="1" applyAlignment="1">
      <alignment vertical="top" wrapText="1"/>
    </xf>
    <xf numFmtId="0" fontId="2" fillId="0" borderId="0" xfId="0" applyFont="1"/>
    <xf numFmtId="164" fontId="4" fillId="0" borderId="1" xfId="0" applyNumberFormat="1" applyFont="1" applyBorder="1" applyAlignment="1">
      <alignment vertical="top" wrapText="1"/>
    </xf>
    <xf numFmtId="0" fontId="2" fillId="0" borderId="1" xfId="0" applyFont="1" applyBorder="1" applyAlignment="1">
      <alignment vertical="top" wrapText="1"/>
    </xf>
    <xf numFmtId="165" fontId="4" fillId="2" borderId="1" xfId="0" applyNumberFormat="1" applyFont="1" applyFill="1" applyBorder="1" applyAlignment="1">
      <alignment vertical="top" wrapText="1"/>
    </xf>
    <xf numFmtId="0" fontId="4" fillId="2" borderId="1" xfId="0" applyFont="1" applyFill="1" applyBorder="1" applyAlignment="1">
      <alignment vertical="top" wrapText="1"/>
    </xf>
    <xf numFmtId="1" fontId="4" fillId="0" borderId="1" xfId="0" applyNumberFormat="1" applyFont="1" applyBorder="1" applyAlignment="1">
      <alignment vertical="top" wrapText="1"/>
    </xf>
    <xf numFmtId="1" fontId="4" fillId="2" borderId="1" xfId="0" applyNumberFormat="1" applyFont="1" applyFill="1" applyBorder="1" applyAlignment="1">
      <alignment vertical="top" wrapText="1"/>
    </xf>
    <xf numFmtId="166" fontId="4" fillId="0" borderId="1" xfId="0" applyNumberFormat="1" applyFont="1" applyBorder="1" applyAlignment="1">
      <alignment vertical="top" wrapText="1"/>
    </xf>
    <xf numFmtId="0" fontId="5" fillId="3" borderId="1" xfId="0" applyFont="1" applyFill="1" applyBorder="1" applyAlignment="1">
      <alignment vertical="top" wrapText="1"/>
    </xf>
    <xf numFmtId="2" fontId="4" fillId="2" borderId="1" xfId="0" applyNumberFormat="1" applyFont="1" applyFill="1" applyBorder="1" applyAlignment="1">
      <alignment vertical="top" wrapText="1"/>
    </xf>
    <xf numFmtId="0" fontId="3" fillId="0" borderId="1" xfId="0" applyFont="1" applyBorder="1" applyAlignment="1">
      <alignment horizontal="center" vertical="top" wrapText="1"/>
    </xf>
    <xf numFmtId="167" fontId="4" fillId="2" borderId="1" xfId="0" applyNumberFormat="1" applyFont="1" applyFill="1" applyBorder="1" applyAlignment="1">
      <alignment vertical="top" wrapText="1"/>
    </xf>
    <xf numFmtId="0" fontId="2" fillId="2" borderId="1" xfId="0" applyFont="1" applyFill="1" applyBorder="1" applyAlignment="1">
      <alignment vertical="top" wrapText="1"/>
    </xf>
    <xf numFmtId="2" fontId="7" fillId="0" borderId="1" xfId="0" applyNumberFormat="1" applyFont="1" applyBorder="1" applyAlignment="1">
      <alignment vertical="top" wrapText="1"/>
    </xf>
    <xf numFmtId="167" fontId="3" fillId="0" borderId="1" xfId="0" applyNumberFormat="1" applyFont="1" applyBorder="1" applyAlignment="1">
      <alignment vertical="top" wrapText="1"/>
    </xf>
    <xf numFmtId="165" fontId="3" fillId="0" borderId="1" xfId="0" applyNumberFormat="1" applyFont="1" applyBorder="1" applyAlignment="1">
      <alignment vertical="top" wrapText="1"/>
    </xf>
    <xf numFmtId="167" fontId="4" fillId="0" borderId="1" xfId="0" applyNumberFormat="1" applyFont="1" applyBorder="1" applyAlignment="1">
      <alignment vertical="top" wrapText="1"/>
    </xf>
    <xf numFmtId="167" fontId="5" fillId="5" borderId="1" xfId="0" applyNumberFormat="1" applyFont="1" applyFill="1" applyBorder="1" applyAlignment="1">
      <alignment vertical="top" wrapText="1"/>
    </xf>
    <xf numFmtId="165" fontId="5" fillId="5" borderId="1" xfId="0" applyNumberFormat="1" applyFont="1" applyFill="1" applyBorder="1" applyAlignment="1">
      <alignment vertical="top" wrapText="1"/>
    </xf>
    <xf numFmtId="164" fontId="5" fillId="0" borderId="1" xfId="0" applyNumberFormat="1" applyFont="1" applyBorder="1" applyAlignment="1">
      <alignment vertical="top" wrapText="1"/>
    </xf>
    <xf numFmtId="0" fontId="5" fillId="0" borderId="1" xfId="0" applyFont="1" applyBorder="1" applyAlignment="1">
      <alignment horizontal="center" vertical="top" wrapText="1"/>
    </xf>
    <xf numFmtId="169" fontId="3" fillId="0" borderId="1" xfId="0" applyNumberFormat="1" applyFont="1" applyBorder="1" applyAlignment="1">
      <alignment vertical="top" wrapText="1"/>
    </xf>
    <xf numFmtId="1" fontId="4" fillId="0" borderId="1" xfId="0" applyNumberFormat="1" applyFont="1" applyBorder="1" applyAlignment="1">
      <alignment horizontal="center" vertical="top" wrapText="1"/>
    </xf>
    <xf numFmtId="167" fontId="7" fillId="0" borderId="1" xfId="0" applyNumberFormat="1" applyFont="1" applyBorder="1" applyAlignment="1">
      <alignment vertical="top" wrapText="1"/>
    </xf>
    <xf numFmtId="1" fontId="5" fillId="0" borderId="1" xfId="0" applyNumberFormat="1" applyFont="1" applyBorder="1" applyAlignment="1">
      <alignment horizontal="center" vertical="top" wrapText="1"/>
    </xf>
    <xf numFmtId="166" fontId="3" fillId="0" borderId="1" xfId="0" applyNumberFormat="1" applyFont="1" applyBorder="1" applyAlignment="1">
      <alignment vertical="top" wrapText="1"/>
    </xf>
    <xf numFmtId="166" fontId="5" fillId="0" borderId="1" xfId="0" applyNumberFormat="1" applyFont="1" applyBorder="1" applyAlignment="1">
      <alignment vertical="top" wrapText="1"/>
    </xf>
    <xf numFmtId="1" fontId="7" fillId="0" borderId="1" xfId="0" applyNumberFormat="1" applyFont="1" applyBorder="1" applyAlignment="1">
      <alignment horizontal="center" vertical="top" wrapText="1"/>
    </xf>
    <xf numFmtId="166" fontId="5" fillId="5" borderId="1" xfId="0" applyNumberFormat="1" applyFont="1" applyFill="1" applyBorder="1" applyAlignment="1">
      <alignment vertical="top" wrapText="1"/>
    </xf>
    <xf numFmtId="1" fontId="5" fillId="5" borderId="1" xfId="0" applyNumberFormat="1" applyFont="1" applyFill="1" applyBorder="1" applyAlignment="1">
      <alignment vertical="top" wrapText="1"/>
    </xf>
    <xf numFmtId="169" fontId="5" fillId="0" borderId="1" xfId="0" applyNumberFormat="1" applyFont="1" applyBorder="1" applyAlignment="1">
      <alignment vertical="top" wrapText="1"/>
    </xf>
    <xf numFmtId="1" fontId="5" fillId="0" borderId="1" xfId="0" applyNumberFormat="1" applyFont="1" applyBorder="1" applyAlignment="1">
      <alignment vertical="top" wrapText="1"/>
    </xf>
    <xf numFmtId="165" fontId="4" fillId="0" borderId="1" xfId="0" applyNumberFormat="1" applyFont="1" applyBorder="1" applyAlignment="1">
      <alignment vertical="top" wrapText="1"/>
    </xf>
    <xf numFmtId="1" fontId="3" fillId="0" borderId="1" xfId="0" applyNumberFormat="1" applyFont="1" applyBorder="1" applyAlignment="1">
      <alignment horizontal="center" vertical="top" wrapText="1"/>
    </xf>
    <xf numFmtId="165" fontId="7" fillId="0" borderId="1" xfId="0" applyNumberFormat="1" applyFont="1" applyBorder="1" applyAlignment="1">
      <alignment vertical="top" wrapText="1"/>
    </xf>
    <xf numFmtId="17" fontId="6" fillId="4" borderId="1" xfId="0" applyNumberFormat="1" applyFont="1" applyFill="1" applyBorder="1" applyAlignment="1">
      <alignment horizontal="center" textRotation="90"/>
    </xf>
    <xf numFmtId="0" fontId="8" fillId="0" borderId="1" xfId="0" applyFont="1" applyBorder="1" applyAlignment="1">
      <alignment horizontal="center" vertical="center"/>
    </xf>
    <xf numFmtId="1" fontId="9" fillId="0" borderId="1" xfId="0" applyNumberFormat="1" applyFont="1" applyBorder="1" applyAlignment="1">
      <alignment horizontal="center"/>
    </xf>
    <xf numFmtId="0" fontId="5" fillId="0" borderId="0" xfId="0" applyFont="1"/>
    <xf numFmtId="0" fontId="3" fillId="0" borderId="0" xfId="0" applyFont="1" applyAlignment="1">
      <alignment vertical="top"/>
    </xf>
    <xf numFmtId="0" fontId="3" fillId="0" borderId="0" xfId="0" applyFont="1" applyAlignment="1">
      <alignment vertical="top" wrapText="1"/>
    </xf>
    <xf numFmtId="0" fontId="2" fillId="0" borderId="0" xfId="0" applyFont="1" applyAlignment="1">
      <alignment vertical="top" wrapText="1"/>
    </xf>
    <xf numFmtId="0" fontId="0" fillId="0" borderId="0" xfId="0"/>
    <xf numFmtId="0" fontId="5" fillId="0" borderId="2" xfId="0" applyFont="1" applyBorder="1" applyAlignment="1">
      <alignment horizontal="center" vertical="center" wrapText="1"/>
    </xf>
    <xf numFmtId="0" fontId="0" fillId="0" borderId="0" xfId="0" applyAlignment="1">
      <alignment vertical="center"/>
    </xf>
  </cellXfs>
  <cellStyles count="1">
    <cellStyle name="Normal" xfId="0" builtinId="0"/>
  </cellStyles>
  <dxfs count="11">
    <dxf>
      <fill>
        <patternFill patternType="solid">
          <fgColor rgb="FFD9D9D9"/>
        </patternFill>
      </fill>
    </dxf>
    <dxf>
      <fill>
        <patternFill patternType="solid">
          <fgColor rgb="FF70AD47"/>
        </patternFill>
      </fill>
    </dxf>
    <dxf>
      <fill>
        <patternFill patternType="solid">
          <fgColor rgb="FFFFD966"/>
        </patternFill>
      </fill>
    </dxf>
    <dxf>
      <fill>
        <patternFill patternType="solid">
          <fgColor rgb="FF5B9BD5"/>
        </patternFill>
      </fill>
    </dxf>
    <dxf>
      <fill>
        <patternFill patternType="solid">
          <fgColor rgb="FFBDD7EE"/>
        </patternFill>
      </fill>
    </dxf>
    <dxf>
      <fill>
        <patternFill patternType="solid">
          <fgColor rgb="FFC6EFCE"/>
        </patternFill>
      </fill>
    </dxf>
    <dxf>
      <font>
        <b/>
        <color rgb="FF9C0006"/>
        <name val="Arial"/>
      </font>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45"/>
  <sheetViews>
    <sheetView showGridLines="0" tabSelected="1" workbookViewId="0">
      <selection activeCell="Q15" sqref="Q15"/>
    </sheetView>
  </sheetViews>
  <sheetFormatPr defaultRowHeight="14.4" x14ac:dyDescent="0.3"/>
  <cols>
    <col min="1" max="1" width="9" customWidth="1"/>
    <col min="2" max="2" width="52" customWidth="1"/>
    <col min="3" max="4" width="17" customWidth="1"/>
    <col min="5" max="6" width="14" customWidth="1"/>
    <col min="7" max="7" width="15" customWidth="1"/>
    <col min="8" max="8" width="14" customWidth="1"/>
  </cols>
  <sheetData>
    <row r="1" spans="1:8" ht="17.399999999999999" x14ac:dyDescent="0.3">
      <c r="A1" s="1" t="s">
        <v>0</v>
      </c>
    </row>
    <row r="2" spans="1:8" ht="25.95" customHeight="1" x14ac:dyDescent="0.3">
      <c r="A2" s="62" t="s">
        <v>1</v>
      </c>
      <c r="B2" s="63"/>
      <c r="C2" s="63"/>
      <c r="D2" s="63"/>
      <c r="E2" s="63"/>
      <c r="F2" s="63"/>
      <c r="G2" s="63"/>
      <c r="H2" s="63"/>
    </row>
    <row r="4" spans="1:8" x14ac:dyDescent="0.3">
      <c r="B4" s="2" t="s">
        <v>2</v>
      </c>
      <c r="C4" s="3">
        <f>Inputs!B4</f>
        <v>111665000</v>
      </c>
    </row>
    <row r="5" spans="1:8" x14ac:dyDescent="0.3">
      <c r="B5" s="2" t="s">
        <v>3</v>
      </c>
      <c r="C5" s="3">
        <f>Inputs!B10</f>
        <v>75240000</v>
      </c>
    </row>
    <row r="6" spans="1:8" x14ac:dyDescent="0.3">
      <c r="B6" s="2" t="s">
        <v>4</v>
      </c>
      <c r="C6" s="3">
        <f>C4+C5</f>
        <v>186905000</v>
      </c>
    </row>
    <row r="7" spans="1:8" x14ac:dyDescent="0.3">
      <c r="B7" s="2" t="s">
        <v>5</v>
      </c>
      <c r="C7" s="4">
        <f>COUNTA(Packages!A5:A12)</f>
        <v>8</v>
      </c>
    </row>
    <row r="8" spans="1:8" x14ac:dyDescent="0.3">
      <c r="B8" s="2" t="s">
        <v>6</v>
      </c>
      <c r="C8" s="5">
        <f>Packages!F16</f>
        <v>1.9972049999999999</v>
      </c>
    </row>
    <row r="9" spans="1:8" x14ac:dyDescent="0.3">
      <c r="B9" s="2" t="s">
        <v>7</v>
      </c>
      <c r="C9" s="6">
        <f>Packages!U13</f>
        <v>47483</v>
      </c>
    </row>
    <row r="11" spans="1:8" ht="39.6" x14ac:dyDescent="0.3">
      <c r="A11" s="7" t="s">
        <v>8</v>
      </c>
    </row>
    <row r="12" spans="1:8" ht="30" customHeight="1" x14ac:dyDescent="0.3">
      <c r="A12" s="8" t="s">
        <v>9</v>
      </c>
      <c r="B12" s="8" t="s">
        <v>10</v>
      </c>
      <c r="C12" s="8" t="s">
        <v>11</v>
      </c>
      <c r="D12" s="8" t="s">
        <v>12</v>
      </c>
      <c r="E12" s="8" t="s">
        <v>13</v>
      </c>
      <c r="F12" s="8" t="s">
        <v>14</v>
      </c>
      <c r="G12" s="8" t="s">
        <v>15</v>
      </c>
      <c r="H12" s="8" t="s">
        <v>16</v>
      </c>
    </row>
    <row r="13" spans="1:8" ht="30" customHeight="1" x14ac:dyDescent="0.3">
      <c r="A13" s="9" t="str">
        <f>Packages!A5</f>
        <v>WP0</v>
      </c>
      <c r="B13" s="10" t="str">
        <f>Packages!B5</f>
        <v>Interim operation &amp; maintenance of the 5 live services (Aug–Dec 2026), as proposed</v>
      </c>
      <c r="C13" s="3">
        <f>Packages!F5</f>
        <v>1625000</v>
      </c>
      <c r="D13" s="3">
        <f>Packages!H5</f>
        <v>1868750</v>
      </c>
      <c r="E13" s="5">
        <f>Packages!I5</f>
        <v>0.18687500000000001</v>
      </c>
      <c r="F13" s="9" t="str">
        <f>Packages!J5</f>
        <v>OK</v>
      </c>
      <c r="G13" s="6">
        <f>Packages!K5</f>
        <v>46235</v>
      </c>
      <c r="H13" s="6">
        <f>Packages!U5</f>
        <v>46387</v>
      </c>
    </row>
    <row r="14" spans="1:8" ht="30" customHeight="1" x14ac:dyDescent="0.3">
      <c r="A14" s="9" t="str">
        <f>Packages!A6</f>
        <v>WP1</v>
      </c>
      <c r="B14" s="10" t="str">
        <f>Packages!B6</f>
        <v>BSTI 2.0 transformation: common platform, HRM &amp; Leave, Payroll, Standards (BDS) sale; Accounts</v>
      </c>
      <c r="C14" s="3">
        <f>Packages!F6</f>
        <v>12379000</v>
      </c>
      <c r="D14" s="3">
        <f>Packages!H6</f>
        <v>14235850</v>
      </c>
      <c r="E14" s="5">
        <f>Packages!I6</f>
        <v>1.4235850000000001</v>
      </c>
      <c r="F14" s="9" t="str">
        <f>Packages!J6</f>
        <v>OK</v>
      </c>
      <c r="G14" s="6">
        <f>Packages!K6</f>
        <v>46388</v>
      </c>
      <c r="H14" s="6">
        <f>Packages!U6</f>
        <v>46568</v>
      </c>
    </row>
    <row r="15" spans="1:8" ht="30" customHeight="1" x14ac:dyDescent="0.3">
      <c r="A15" s="9" t="str">
        <f>Packages!A7</f>
        <v>WP2</v>
      </c>
      <c r="B15" s="10" t="str">
        <f>Packages!B7</f>
        <v>CM licence services (non-scope &amp; scope: new, renewal, brand inclusion) + common suspension / cancellation / withdrawal</v>
      </c>
      <c r="C15" s="3">
        <f>Packages!F7</f>
        <v>16120000</v>
      </c>
      <c r="D15" s="3">
        <f>Packages!H7</f>
        <v>18538000</v>
      </c>
      <c r="E15" s="5">
        <f>Packages!I7</f>
        <v>1.8537999999999999</v>
      </c>
      <c r="F15" s="9" t="str">
        <f>Packages!J7</f>
        <v>OK</v>
      </c>
      <c r="G15" s="6">
        <f>Packages!K7</f>
        <v>46447</v>
      </c>
      <c r="H15" s="6">
        <f>Packages!U7</f>
        <v>46721</v>
      </c>
    </row>
    <row r="16" spans="1:8" ht="30" customHeight="1" x14ac:dyDescent="0.3">
      <c r="A16" s="9" t="str">
        <f>Packages!A8</f>
        <v>WP3</v>
      </c>
      <c r="B16" s="10" t="str">
        <f>Packages!B8</f>
        <v>Laboratory testing (Chemical, Physical, Energy Meter) and PCR services</v>
      </c>
      <c r="C16" s="3">
        <f>Packages!F8</f>
        <v>17063000</v>
      </c>
      <c r="D16" s="3">
        <f>Packages!H8</f>
        <v>19622450</v>
      </c>
      <c r="E16" s="5">
        <f>Packages!I8</f>
        <v>1.962245</v>
      </c>
      <c r="F16" s="9" t="str">
        <f>Packages!J8</f>
        <v>OK</v>
      </c>
      <c r="G16" s="6">
        <f>Packages!K8</f>
        <v>46419</v>
      </c>
      <c r="H16" s="6">
        <f>Packages!U8</f>
        <v>46721</v>
      </c>
    </row>
    <row r="17" spans="1:8" ht="30" customHeight="1" x14ac:dyDescent="0.3">
      <c r="A17" s="9" t="str">
        <f>Packages!A9</f>
        <v>WP4</v>
      </c>
      <c r="B17" s="10" t="str">
        <f>Packages!B9</f>
        <v>Enforcement &amp; field metrology: Mobile Court, Surveillance, Verification, Tank Calibration, Metrology Licence, Storage Tank Calibration</v>
      </c>
      <c r="C17" s="3">
        <f>Packages!F9</f>
        <v>17336000</v>
      </c>
      <c r="D17" s="3">
        <f>Packages!H9</f>
        <v>19936400</v>
      </c>
      <c r="E17" s="5">
        <f>Packages!I9</f>
        <v>1.9936400000000001</v>
      </c>
      <c r="F17" s="9" t="str">
        <f>Packages!J9</f>
        <v>OK</v>
      </c>
      <c r="G17" s="6">
        <f>Packages!K9</f>
        <v>46844</v>
      </c>
      <c r="H17" s="6">
        <f>Packages!U9</f>
        <v>47118</v>
      </c>
    </row>
    <row r="18" spans="1:8" ht="30" customHeight="1" x14ac:dyDescent="0.3">
      <c r="A18" s="9" t="str">
        <f>Packages!A10</f>
        <v>WP5</v>
      </c>
      <c r="B18" s="10" t="str">
        <f>Packages!B10</f>
        <v>MSC services (issue, renewal, scope inclusion)</v>
      </c>
      <c r="C18" s="3">
        <f>Packages!F10</f>
        <v>16241000</v>
      </c>
      <c r="D18" s="3">
        <f>Packages!H10</f>
        <v>18677150</v>
      </c>
      <c r="E18" s="5">
        <f>Packages!I10</f>
        <v>1.867715</v>
      </c>
      <c r="F18" s="9" t="str">
        <f>Packages!J10</f>
        <v>OK</v>
      </c>
      <c r="G18" s="6">
        <f>Packages!K10</f>
        <v>47027</v>
      </c>
      <c r="H18" s="6">
        <f>Packages!U10</f>
        <v>47299</v>
      </c>
    </row>
    <row r="19" spans="1:8" ht="30" customHeight="1" x14ac:dyDescent="0.3">
      <c r="A19" s="9" t="str">
        <f>Packages!A11</f>
        <v>WP6</v>
      </c>
      <c r="B19" s="10" t="str">
        <f>Packages!B11</f>
        <v>Halal certification, LPG / Fuel station registration, Case Management</v>
      </c>
      <c r="C19" s="3">
        <f>Packages!F11</f>
        <v>17367000</v>
      </c>
      <c r="D19" s="3">
        <f>Packages!H11</f>
        <v>19972050</v>
      </c>
      <c r="E19" s="5">
        <f>Packages!I11</f>
        <v>1.9972049999999999</v>
      </c>
      <c r="F19" s="9" t="str">
        <f>Packages!J11</f>
        <v>OK</v>
      </c>
      <c r="G19" s="6">
        <f>Packages!K11</f>
        <v>47119</v>
      </c>
      <c r="H19" s="6">
        <f>Packages!U11</f>
        <v>47391</v>
      </c>
    </row>
    <row r="20" spans="1:8" ht="30" customHeight="1" x14ac:dyDescent="0.3">
      <c r="A20" s="9" t="str">
        <f>Packages!A12</f>
        <v>WP7</v>
      </c>
      <c r="B20" s="10" t="str">
        <f>Packages!B12</f>
        <v>I&amp;S Metrology Calibration (NML), Building measurement, BSW API integration, Importer/Exporter certificates*</v>
      </c>
      <c r="C20" s="3">
        <f>Packages!F12</f>
        <v>13534000</v>
      </c>
      <c r="D20" s="3">
        <f>Packages!H12</f>
        <v>15564100</v>
      </c>
      <c r="E20" s="5">
        <f>Packages!I12</f>
        <v>1.5564100000000001</v>
      </c>
      <c r="F20" s="9" t="str">
        <f>Packages!J12</f>
        <v>OK</v>
      </c>
      <c r="G20" s="6">
        <f>Packages!K12</f>
        <v>47209</v>
      </c>
      <c r="H20" s="6">
        <f>Packages!U12</f>
        <v>47483</v>
      </c>
    </row>
    <row r="21" spans="1:8" x14ac:dyDescent="0.3">
      <c r="A21" s="11"/>
      <c r="B21" s="12" t="s">
        <v>17</v>
      </c>
      <c r="C21" s="13">
        <f>SUM(C13:C20)</f>
        <v>111665000</v>
      </c>
      <c r="D21" s="13">
        <f>SUM(D13:D20)</f>
        <v>128414750</v>
      </c>
      <c r="E21" s="14">
        <f>SUM(E13:E20)</f>
        <v>12.841474999999999</v>
      </c>
      <c r="F21" s="11"/>
      <c r="G21" s="11"/>
      <c r="H21" s="11"/>
    </row>
    <row r="25" spans="1:8" s="65" customFormat="1" ht="132" customHeight="1" x14ac:dyDescent="0.3">
      <c r="A25" s="64" t="s">
        <v>18</v>
      </c>
      <c r="B25" s="64"/>
      <c r="C25" s="64"/>
      <c r="D25" s="64"/>
      <c r="E25" s="64"/>
      <c r="F25" s="64"/>
      <c r="G25" s="64"/>
      <c r="H25" s="64"/>
    </row>
    <row r="26" spans="1:8" ht="30" customHeight="1" x14ac:dyDescent="0.3">
      <c r="A26" s="8" t="s">
        <v>19</v>
      </c>
      <c r="B26" s="8"/>
      <c r="C26" s="8" t="s">
        <v>20</v>
      </c>
      <c r="D26" s="8" t="s">
        <v>21</v>
      </c>
      <c r="E26" s="8" t="s">
        <v>22</v>
      </c>
      <c r="F26" s="8" t="s">
        <v>23</v>
      </c>
      <c r="G26" s="8" t="s">
        <v>24</v>
      </c>
      <c r="H26" s="8" t="s">
        <v>25</v>
      </c>
    </row>
    <row r="27" spans="1:8" x14ac:dyDescent="0.3">
      <c r="A27" s="15" t="s">
        <v>26</v>
      </c>
      <c r="C27" s="3">
        <f>SUMIF('Original Offer'!$B$5:$B$19,VALUE(A27),'Original Offer'!$F$5:$F$19)</f>
        <v>1625000</v>
      </c>
      <c r="D27" s="3">
        <f>SUMIFS('Payment Schedule'!$G$5:$G$41,'Payment Schedule'!$F$5:$F$41,VALUE(A27),'Payment Schedule'!$A$5:$A$41,"Rollout")</f>
        <v>1625000</v>
      </c>
      <c r="E27" s="3">
        <f>SUMIFS('Payment Schedule'!$G$5:$G$41,'Payment Schedule'!$F$5:$F$41,VALUE(A27),'Payment Schedule'!$A$5:$A$41,"Maintenance")</f>
        <v>0</v>
      </c>
      <c r="F27" s="16">
        <f t="shared" ref="F27:F32" si="0">D27+E27</f>
        <v>1625000</v>
      </c>
      <c r="G27" s="17">
        <f t="shared" ref="G27:G32" si="1">(F27-C27)/100000</f>
        <v>0</v>
      </c>
      <c r="H27" s="3">
        <f>SUMIF('Payment Schedule'!$F$5:$F$41,VALUE(A27),'Payment Schedule'!$I$5:$I$41)</f>
        <v>1868750</v>
      </c>
    </row>
    <row r="28" spans="1:8" x14ac:dyDescent="0.3">
      <c r="A28" s="15" t="s">
        <v>27</v>
      </c>
      <c r="C28" s="3">
        <f>SUMIF('Original Offer'!$B$5:$B$19,VALUE(A28),'Original Offer'!$F$5:$F$19)</f>
        <v>20520000</v>
      </c>
      <c r="D28" s="3">
        <f>SUMIFS('Payment Schedule'!$G$5:$G$41,'Payment Schedule'!$F$5:$F$41,VALUE(A28),'Payment Schedule'!$A$5:$A$41,"Rollout")</f>
        <v>42243700</v>
      </c>
      <c r="E28" s="3">
        <f>SUMIFS('Payment Schedule'!$G$5:$G$41,'Payment Schedule'!$F$5:$F$41,VALUE(A28),'Payment Schedule'!$A$5:$A$41,"Maintenance")</f>
        <v>0</v>
      </c>
      <c r="F28" s="16">
        <f t="shared" si="0"/>
        <v>42243700</v>
      </c>
      <c r="G28" s="17">
        <f t="shared" si="1"/>
        <v>217.23699999999999</v>
      </c>
      <c r="H28" s="3">
        <f>SUMIF('Payment Schedule'!$F$5:$F$41,VALUE(A28),'Payment Schedule'!$I$5:$I$41)</f>
        <v>48580255</v>
      </c>
    </row>
    <row r="29" spans="1:8" x14ac:dyDescent="0.3">
      <c r="A29" s="15" t="s">
        <v>28</v>
      </c>
      <c r="C29" s="3">
        <f>SUMIF('Original Offer'!$B$5:$B$19,VALUE(A29),'Original Offer'!$F$5:$F$19)</f>
        <v>39990000</v>
      </c>
      <c r="D29" s="3">
        <f>SUMIFS('Payment Schedule'!$G$5:$G$41,'Payment Schedule'!$F$5:$F$41,VALUE(A29),'Payment Schedule'!$A$5:$A$41,"Rollout")</f>
        <v>22168900</v>
      </c>
      <c r="E29" s="3">
        <f>SUMIFS('Payment Schedule'!$G$5:$G$41,'Payment Schedule'!$F$5:$F$41,VALUE(A29),'Payment Schedule'!$A$5:$A$41,"Maintenance")</f>
        <v>0</v>
      </c>
      <c r="F29" s="16">
        <f t="shared" si="0"/>
        <v>22168900</v>
      </c>
      <c r="G29" s="17">
        <f t="shared" si="1"/>
        <v>-178.21100000000001</v>
      </c>
      <c r="H29" s="3">
        <f>SUMIF('Payment Schedule'!$F$5:$F$41,VALUE(A29),'Payment Schedule'!$I$5:$I$41)</f>
        <v>25494235</v>
      </c>
    </row>
    <row r="30" spans="1:8" x14ac:dyDescent="0.3">
      <c r="A30" s="15" t="s">
        <v>29</v>
      </c>
      <c r="C30" s="3">
        <f>SUMIF('Original Offer'!$B$5:$B$19,VALUE(A30),'Original Offer'!$F$5:$F$19)</f>
        <v>49530000</v>
      </c>
      <c r="D30" s="3">
        <f>SUMIFS('Payment Schedule'!$G$5:$G$41,'Payment Schedule'!$F$5:$F$41,VALUE(A30),'Payment Schedule'!$A$5:$A$41,"Rollout")</f>
        <v>44274000</v>
      </c>
      <c r="E30" s="3">
        <f>SUMIFS('Payment Schedule'!$G$5:$G$41,'Payment Schedule'!$F$5:$F$41,VALUE(A30),'Payment Schedule'!$A$5:$A$41,"Maintenance")</f>
        <v>0</v>
      </c>
      <c r="F30" s="16">
        <f t="shared" si="0"/>
        <v>44274000</v>
      </c>
      <c r="G30" s="17">
        <f t="shared" si="1"/>
        <v>-52.56</v>
      </c>
      <c r="H30" s="3">
        <f>SUMIF('Payment Schedule'!$F$5:$F$41,VALUE(A30),'Payment Schedule'!$I$5:$I$41)</f>
        <v>50915100</v>
      </c>
    </row>
    <row r="31" spans="1:8" x14ac:dyDescent="0.3">
      <c r="A31" s="15" t="s">
        <v>30</v>
      </c>
      <c r="C31" s="3">
        <f>SUMIF('Original Offer'!$B$5:$B$19,VALUE(A31),'Original Offer'!$F$5:$F$19)</f>
        <v>37620000</v>
      </c>
      <c r="D31" s="3">
        <f>SUMIFS('Payment Schedule'!$G$5:$G$41,'Payment Schedule'!$F$5:$F$41,VALUE(A31),'Payment Schedule'!$A$5:$A$41,"Rollout")</f>
        <v>1353400</v>
      </c>
      <c r="E31" s="3">
        <f>SUMIFS('Payment Schedule'!$G$5:$G$41,'Payment Schedule'!$F$5:$F$41,VALUE(A31),'Payment Schedule'!$A$5:$A$41,"Maintenance")</f>
        <v>37620000</v>
      </c>
      <c r="F31" s="16">
        <f t="shared" si="0"/>
        <v>38973400</v>
      </c>
      <c r="G31" s="17">
        <f t="shared" si="1"/>
        <v>13.534000000000001</v>
      </c>
      <c r="H31" s="3">
        <f>SUMIF('Payment Schedule'!$F$5:$F$41,VALUE(A31),'Payment Schedule'!$I$5:$I$41)</f>
        <v>44819410</v>
      </c>
    </row>
    <row r="32" spans="1:8" x14ac:dyDescent="0.3">
      <c r="A32" s="15" t="s">
        <v>31</v>
      </c>
      <c r="C32" s="3">
        <f>SUMIF('Original Offer'!$B$5:$B$19,VALUE(A32),'Original Offer'!$F$5:$F$19)</f>
        <v>37620000</v>
      </c>
      <c r="D32" s="3">
        <f>SUMIFS('Payment Schedule'!$G$5:$G$41,'Payment Schedule'!$F$5:$F$41,VALUE(A32),'Payment Schedule'!$A$5:$A$41,"Rollout")</f>
        <v>0</v>
      </c>
      <c r="E32" s="3">
        <f>SUMIFS('Payment Schedule'!$G$5:$G$41,'Payment Schedule'!$F$5:$F$41,VALUE(A32),'Payment Schedule'!$A$5:$A$41,"Maintenance")</f>
        <v>37620000</v>
      </c>
      <c r="F32" s="16">
        <f t="shared" si="0"/>
        <v>37620000</v>
      </c>
      <c r="G32" s="17">
        <f t="shared" si="1"/>
        <v>0</v>
      </c>
      <c r="H32" s="3">
        <f>SUMIF('Payment Schedule'!$F$5:$F$41,VALUE(A32),'Payment Schedule'!$I$5:$I$41)</f>
        <v>43263000</v>
      </c>
    </row>
    <row r="33" spans="1:8" x14ac:dyDescent="0.3">
      <c r="A33" s="12" t="s">
        <v>32</v>
      </c>
      <c r="B33" s="18"/>
      <c r="C33" s="13">
        <f>SUM(C27:C32)</f>
        <v>186905000</v>
      </c>
      <c r="D33" s="13">
        <f>SUM(D27:D32)</f>
        <v>111665000</v>
      </c>
      <c r="E33" s="13">
        <f>SUM(E27:E32)</f>
        <v>75240000</v>
      </c>
      <c r="F33" s="13">
        <f>SUM(F27:F32)</f>
        <v>186905000</v>
      </c>
      <c r="G33" s="19">
        <f>ROUND(SUM(G27:G32),2)</f>
        <v>0</v>
      </c>
      <c r="H33" s="13">
        <f>SUM(H27:H32)</f>
        <v>214940750</v>
      </c>
    </row>
    <row r="34" spans="1:8" x14ac:dyDescent="0.3">
      <c r="B34" s="2" t="s">
        <v>33</v>
      </c>
      <c r="C34" s="2" t="str">
        <f>IF(ABS(F33-C33)&lt;1,"OK","ERROR")</f>
        <v>OK</v>
      </c>
    </row>
    <row r="36" spans="1:8" x14ac:dyDescent="0.3">
      <c r="A36" s="7" t="s">
        <v>34</v>
      </c>
    </row>
    <row r="37" spans="1:8" x14ac:dyDescent="0.3">
      <c r="B37" s="20" t="s">
        <v>35</v>
      </c>
      <c r="C37" s="9" t="str">
        <f>Inputs!B27</f>
        <v>OK</v>
      </c>
    </row>
    <row r="38" spans="1:8" x14ac:dyDescent="0.3">
      <c r="B38" s="20" t="s">
        <v>36</v>
      </c>
      <c r="C38" s="9" t="str">
        <f>'Work Volume'!P54</f>
        <v>OK</v>
      </c>
    </row>
    <row r="39" spans="1:8" x14ac:dyDescent="0.3">
      <c r="B39" s="20" t="s">
        <v>37</v>
      </c>
      <c r="C39" s="9" t="str">
        <f>Packages!F14</f>
        <v>OK</v>
      </c>
    </row>
    <row r="40" spans="1:8" x14ac:dyDescent="0.3">
      <c r="B40" s="20" t="s">
        <v>38</v>
      </c>
      <c r="C40" s="9" t="str">
        <f>Packages!F15</f>
        <v>OK</v>
      </c>
    </row>
    <row r="41" spans="1:8" x14ac:dyDescent="0.3">
      <c r="B41" s="20" t="s">
        <v>39</v>
      </c>
      <c r="C41" s="9" t="str">
        <f>IF(COUNTIF(Packages!J5:J12,"EXCEEDS")=0,"OK","EXCEEDS")</f>
        <v>OK</v>
      </c>
    </row>
    <row r="42" spans="1:8" x14ac:dyDescent="0.3">
      <c r="B42" s="20" t="s">
        <v>40</v>
      </c>
      <c r="C42" s="9" t="str">
        <f>'Payment Schedule'!G45</f>
        <v>OK</v>
      </c>
    </row>
    <row r="43" spans="1:8" x14ac:dyDescent="0.3">
      <c r="B43" s="20" t="s">
        <v>41</v>
      </c>
      <c r="C43" s="9" t="str">
        <f>'Payment Schedule'!G46</f>
        <v>OK</v>
      </c>
    </row>
    <row r="44" spans="1:8" x14ac:dyDescent="0.3">
      <c r="B44" s="20" t="s">
        <v>42</v>
      </c>
      <c r="C44" s="9" t="str">
        <f>'Original Offer'!F23</f>
        <v>OK</v>
      </c>
    </row>
    <row r="45" spans="1:8" ht="26.4" x14ac:dyDescent="0.3">
      <c r="B45" s="20" t="s">
        <v>43</v>
      </c>
      <c r="C45" s="9" t="str">
        <f>IF(MAX(Packages!U6:U8)&lt;=Inputs!B15,"OK","LATE")</f>
        <v>OK</v>
      </c>
    </row>
  </sheetData>
  <mergeCells count="2">
    <mergeCell ref="A2:H2"/>
    <mergeCell ref="A25:H25"/>
  </mergeCells>
  <conditionalFormatting sqref="C37:C45">
    <cfRule type="cellIs" dxfId="10" priority="3" operator="equal">
      <formula>"OK"</formula>
    </cfRule>
    <cfRule type="cellIs" dxfId="9" priority="4" operator="notEqual">
      <formula>"OK"</formula>
    </cfRule>
  </conditionalFormatting>
  <conditionalFormatting sqref="F13:F20">
    <cfRule type="cellIs" dxfId="8" priority="1" operator="equal">
      <formula>"EXCEEDS"</formula>
    </cfRule>
    <cfRule type="cellIs" dxfId="7" priority="2" operator="equal">
      <formula>"OK"</formula>
    </cfRule>
  </conditionalFormatting>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27"/>
  <sheetViews>
    <sheetView showGridLines="0" workbookViewId="0"/>
  </sheetViews>
  <sheetFormatPr defaultRowHeight="14.4" x14ac:dyDescent="0.3"/>
  <cols>
    <col min="1" max="1" width="52" customWidth="1"/>
    <col min="2" max="2" width="18" customWidth="1"/>
    <col min="3" max="3" width="70" customWidth="1"/>
  </cols>
  <sheetData>
    <row r="1" spans="1:3" ht="17.399999999999999" x14ac:dyDescent="0.3">
      <c r="A1" s="1" t="s">
        <v>44</v>
      </c>
    </row>
    <row r="2" spans="1:3" x14ac:dyDescent="0.3">
      <c r="A2" s="21" t="s">
        <v>45</v>
      </c>
    </row>
    <row r="4" spans="1:3" ht="26.4" x14ac:dyDescent="0.3">
      <c r="A4" s="20" t="s">
        <v>46</v>
      </c>
      <c r="B4" s="22">
        <v>111665000</v>
      </c>
      <c r="C4" s="23" t="s">
        <v>47</v>
      </c>
    </row>
    <row r="5" spans="1:3" ht="34.200000000000003" x14ac:dyDescent="0.3">
      <c r="A5" s="20" t="s">
        <v>48</v>
      </c>
      <c r="B5" s="22">
        <v>1625000</v>
      </c>
      <c r="C5" s="23" t="s">
        <v>49</v>
      </c>
    </row>
    <row r="6" spans="1:3" x14ac:dyDescent="0.3">
      <c r="A6" s="20" t="s">
        <v>50</v>
      </c>
      <c r="B6" s="16">
        <f>B4-B5</f>
        <v>110040000</v>
      </c>
      <c r="C6" s="23" t="s">
        <v>51</v>
      </c>
    </row>
    <row r="7" spans="1:3" x14ac:dyDescent="0.3">
      <c r="A7" s="20" t="s">
        <v>52</v>
      </c>
      <c r="B7" s="22">
        <v>20000000</v>
      </c>
      <c r="C7" s="23" t="s">
        <v>53</v>
      </c>
    </row>
    <row r="8" spans="1:3" ht="22.8" x14ac:dyDescent="0.3">
      <c r="A8" s="20" t="s">
        <v>54</v>
      </c>
      <c r="B8" s="24">
        <v>0.15</v>
      </c>
      <c r="C8" s="23" t="s">
        <v>55</v>
      </c>
    </row>
    <row r="9" spans="1:3" x14ac:dyDescent="0.3">
      <c r="A9" s="20" t="s">
        <v>56</v>
      </c>
      <c r="B9" s="25" t="s">
        <v>57</v>
      </c>
      <c r="C9" s="23" t="s">
        <v>58</v>
      </c>
    </row>
    <row r="10" spans="1:3" x14ac:dyDescent="0.3">
      <c r="A10" s="20" t="s">
        <v>59</v>
      </c>
      <c r="B10" s="22">
        <v>75240000</v>
      </c>
      <c r="C10" s="23" t="s">
        <v>60</v>
      </c>
    </row>
    <row r="11" spans="1:3" x14ac:dyDescent="0.3">
      <c r="A11" s="20" t="s">
        <v>61</v>
      </c>
      <c r="B11" s="26">
        <v>24</v>
      </c>
      <c r="C11" s="23" t="s">
        <v>62</v>
      </c>
    </row>
    <row r="12" spans="1:3" ht="22.8" x14ac:dyDescent="0.3">
      <c r="A12" s="20" t="s">
        <v>63</v>
      </c>
      <c r="B12" s="27">
        <v>3</v>
      </c>
      <c r="C12" s="23" t="s">
        <v>64</v>
      </c>
    </row>
    <row r="13" spans="1:3" x14ac:dyDescent="0.3">
      <c r="A13" s="20" t="s">
        <v>65</v>
      </c>
      <c r="B13" s="28">
        <v>47484</v>
      </c>
      <c r="C13" s="23" t="s">
        <v>66</v>
      </c>
    </row>
    <row r="14" spans="1:3" x14ac:dyDescent="0.3">
      <c r="A14" s="20" t="s">
        <v>67</v>
      </c>
      <c r="B14" s="26">
        <v>-3</v>
      </c>
      <c r="C14" s="23" t="s">
        <v>68</v>
      </c>
    </row>
    <row r="15" spans="1:3" ht="22.8" x14ac:dyDescent="0.3">
      <c r="A15" s="20" t="s">
        <v>69</v>
      </c>
      <c r="B15" s="28">
        <v>46752</v>
      </c>
      <c r="C15" s="23" t="s">
        <v>70</v>
      </c>
    </row>
    <row r="16" spans="1:3" x14ac:dyDescent="0.3">
      <c r="A16" s="29" t="s">
        <v>71</v>
      </c>
      <c r="B16" s="29" t="s">
        <v>72</v>
      </c>
      <c r="C16" s="29" t="s">
        <v>73</v>
      </c>
    </row>
    <row r="17" spans="1:3" x14ac:dyDescent="0.3">
      <c r="A17" s="15" t="s">
        <v>74</v>
      </c>
      <c r="B17" s="30">
        <v>1</v>
      </c>
      <c r="C17" s="23" t="s">
        <v>75</v>
      </c>
    </row>
    <row r="18" spans="1:3" ht="34.200000000000003" x14ac:dyDescent="0.3">
      <c r="A18" s="15" t="s">
        <v>76</v>
      </c>
      <c r="B18" s="30">
        <v>0.5</v>
      </c>
      <c r="C18" s="23" t="s">
        <v>77</v>
      </c>
    </row>
    <row r="19" spans="1:3" ht="22.8" x14ac:dyDescent="0.3">
      <c r="A19" s="15" t="s">
        <v>78</v>
      </c>
      <c r="B19" s="30">
        <v>0.5</v>
      </c>
      <c r="C19" s="23" t="s">
        <v>79</v>
      </c>
    </row>
    <row r="20" spans="1:3" x14ac:dyDescent="0.3">
      <c r="C20" s="21" t="s">
        <v>80</v>
      </c>
    </row>
    <row r="22" spans="1:3" x14ac:dyDescent="0.3">
      <c r="A22" s="29" t="s">
        <v>81</v>
      </c>
      <c r="B22" s="29" t="s">
        <v>82</v>
      </c>
      <c r="C22" s="29" t="s">
        <v>83</v>
      </c>
    </row>
    <row r="23" spans="1:3" ht="22.8" x14ac:dyDescent="0.3">
      <c r="A23" s="20" t="s">
        <v>84</v>
      </c>
      <c r="B23" s="24">
        <v>0.2</v>
      </c>
      <c r="C23" s="23" t="s">
        <v>85</v>
      </c>
    </row>
    <row r="24" spans="1:3" x14ac:dyDescent="0.3">
      <c r="A24" s="20" t="s">
        <v>86</v>
      </c>
      <c r="B24" s="24">
        <v>0.3</v>
      </c>
      <c r="C24" s="23" t="s">
        <v>87</v>
      </c>
    </row>
    <row r="25" spans="1:3" ht="22.8" x14ac:dyDescent="0.3">
      <c r="A25" s="20" t="s">
        <v>88</v>
      </c>
      <c r="B25" s="24">
        <v>0.4</v>
      </c>
      <c r="C25" s="23" t="s">
        <v>89</v>
      </c>
    </row>
    <row r="26" spans="1:3" ht="22.8" x14ac:dyDescent="0.3">
      <c r="A26" s="20" t="s">
        <v>90</v>
      </c>
      <c r="B26" s="24">
        <v>0.1</v>
      </c>
      <c r="C26" s="23" t="s">
        <v>91</v>
      </c>
    </row>
    <row r="27" spans="1:3" x14ac:dyDescent="0.3">
      <c r="A27" s="2" t="s">
        <v>92</v>
      </c>
      <c r="B27" s="2" t="str">
        <f>IF(ROUND(SUM(B23:B26),4)=1,"OK","ERROR")</f>
        <v>OK</v>
      </c>
    </row>
  </sheetData>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Q55"/>
  <sheetViews>
    <sheetView showGridLines="0" workbookViewId="0">
      <pane xSplit="3" ySplit="4" topLeftCell="D5" activePane="bottomRight" state="frozen"/>
      <selection pane="topRight"/>
      <selection pane="bottomLeft"/>
      <selection pane="bottomRight"/>
    </sheetView>
  </sheetViews>
  <sheetFormatPr defaultRowHeight="14.4" x14ac:dyDescent="0.3"/>
  <cols>
    <col min="1" max="1" width="8" customWidth="1"/>
    <col min="2" max="2" width="9" customWidth="1"/>
    <col min="3" max="3" width="44" customWidth="1"/>
    <col min="4" max="5" width="9" customWidth="1"/>
    <col min="6" max="6" width="34" customWidth="1"/>
    <col min="7" max="7" width="9" customWidth="1"/>
    <col min="8" max="8" width="12" customWidth="1"/>
    <col min="9" max="9" width="10" customWidth="1"/>
    <col min="10" max="10" width="40" customWidth="1"/>
    <col min="11" max="11" width="9" customWidth="1"/>
    <col min="12" max="12" width="8" customWidth="1"/>
    <col min="13" max="13" width="9" customWidth="1"/>
    <col min="14" max="14" width="10" customWidth="1"/>
    <col min="15" max="15" width="9" customWidth="1"/>
    <col min="16" max="16" width="15" customWidth="1"/>
    <col min="17" max="17" width="11" customWidth="1"/>
  </cols>
  <sheetData>
    <row r="1" spans="1:17" ht="17.399999999999999" x14ac:dyDescent="0.3">
      <c r="A1" s="1" t="s">
        <v>93</v>
      </c>
    </row>
    <row r="2" spans="1:17" ht="28.05" customHeight="1" x14ac:dyDescent="0.3">
      <c r="A2" s="62" t="s">
        <v>94</v>
      </c>
      <c r="B2" s="63"/>
      <c r="C2" s="63"/>
      <c r="D2" s="63"/>
      <c r="E2" s="63"/>
      <c r="F2" s="63"/>
      <c r="G2" s="63"/>
      <c r="H2" s="63"/>
      <c r="I2" s="63"/>
      <c r="J2" s="63"/>
      <c r="K2" s="63"/>
      <c r="L2" s="63"/>
      <c r="M2" s="63"/>
      <c r="N2" s="63"/>
      <c r="O2" s="63"/>
      <c r="P2" s="63"/>
      <c r="Q2" s="63"/>
    </row>
    <row r="4" spans="1:17" ht="42" customHeight="1" x14ac:dyDescent="0.3">
      <c r="A4" s="8" t="s">
        <v>95</v>
      </c>
      <c r="B4" s="8" t="s">
        <v>96</v>
      </c>
      <c r="C4" s="8" t="s">
        <v>97</v>
      </c>
      <c r="D4" s="8" t="s">
        <v>9</v>
      </c>
      <c r="E4" s="8" t="s">
        <v>98</v>
      </c>
      <c r="F4" s="8" t="s">
        <v>99</v>
      </c>
      <c r="G4" s="8" t="s">
        <v>100</v>
      </c>
      <c r="H4" s="8" t="s">
        <v>101</v>
      </c>
      <c r="I4" s="8" t="s">
        <v>102</v>
      </c>
      <c r="J4" s="8" t="s">
        <v>103</v>
      </c>
      <c r="K4" s="8" t="s">
        <v>104</v>
      </c>
      <c r="L4" s="8" t="s">
        <v>72</v>
      </c>
      <c r="M4" s="8" t="s">
        <v>105</v>
      </c>
      <c r="N4" s="8" t="s">
        <v>106</v>
      </c>
      <c r="O4" s="8" t="s">
        <v>107</v>
      </c>
      <c r="P4" s="8" t="s">
        <v>108</v>
      </c>
      <c r="Q4" s="8" t="s">
        <v>109</v>
      </c>
    </row>
    <row r="5" spans="1:17" ht="52.8" x14ac:dyDescent="0.3">
      <c r="A5" s="31">
        <v>1</v>
      </c>
      <c r="B5" s="31" t="s">
        <v>110</v>
      </c>
      <c r="C5" s="20" t="s">
        <v>111</v>
      </c>
      <c r="D5" s="15" t="s">
        <v>112</v>
      </c>
      <c r="E5" s="31" t="s">
        <v>113</v>
      </c>
      <c r="F5" s="20" t="s">
        <v>114</v>
      </c>
      <c r="G5" s="26"/>
      <c r="H5" s="26"/>
      <c r="I5" s="32">
        <v>60</v>
      </c>
      <c r="J5" s="33" t="s">
        <v>115</v>
      </c>
      <c r="K5" s="15" t="s">
        <v>74</v>
      </c>
      <c r="L5" s="34">
        <f>INDEX(Inputs!$B$17:$B$19,MATCH(K5,Inputs!$A$17:$A$19,0))</f>
        <v>1</v>
      </c>
      <c r="M5" s="15" t="s">
        <v>57</v>
      </c>
      <c r="N5" s="35">
        <f t="shared" ref="N5:N52" si="0">IF(M5="Y",I5*L5,0)</f>
        <v>60</v>
      </c>
      <c r="O5" s="36">
        <f t="shared" ref="O5:O52" si="1">IF($N$53=0,0,N5/$N$53)</f>
        <v>3.316749585406302E-2</v>
      </c>
      <c r="P5" s="3">
        <f>O5*Inputs!$B$6</f>
        <v>3649751.2437810949</v>
      </c>
      <c r="Q5" s="17">
        <f t="shared" ref="Q5:Q52" si="2">P5/100000</f>
        <v>36.497512437810947</v>
      </c>
    </row>
    <row r="6" spans="1:17" x14ac:dyDescent="0.3">
      <c r="A6" s="31">
        <v>1</v>
      </c>
      <c r="B6" s="31" t="s">
        <v>116</v>
      </c>
      <c r="C6" s="20" t="s">
        <v>117</v>
      </c>
      <c r="D6" s="15" t="s">
        <v>112</v>
      </c>
      <c r="E6" s="31" t="s">
        <v>118</v>
      </c>
      <c r="F6" s="20" t="s">
        <v>119</v>
      </c>
      <c r="G6" s="26">
        <v>11</v>
      </c>
      <c r="H6" s="26">
        <v>49</v>
      </c>
      <c r="I6" s="35">
        <f>H6</f>
        <v>49</v>
      </c>
      <c r="J6" s="23" t="s">
        <v>120</v>
      </c>
      <c r="K6" s="15" t="s">
        <v>78</v>
      </c>
      <c r="L6" s="34">
        <f>INDEX(Inputs!$B$17:$B$19,MATCH(K6,Inputs!$A$17:$A$19,0))</f>
        <v>0.5</v>
      </c>
      <c r="M6" s="15" t="s">
        <v>57</v>
      </c>
      <c r="N6" s="35">
        <f t="shared" si="0"/>
        <v>24.5</v>
      </c>
      <c r="O6" s="36">
        <f t="shared" si="1"/>
        <v>1.3543394140409067E-2</v>
      </c>
      <c r="P6" s="3">
        <f>O6*Inputs!$B$6</f>
        <v>1490315.0912106137</v>
      </c>
      <c r="Q6" s="17">
        <f t="shared" si="2"/>
        <v>14.903150912106137</v>
      </c>
    </row>
    <row r="7" spans="1:17" x14ac:dyDescent="0.3">
      <c r="A7" s="31">
        <v>1</v>
      </c>
      <c r="B7" s="31" t="s">
        <v>121</v>
      </c>
      <c r="C7" s="20" t="s">
        <v>122</v>
      </c>
      <c r="D7" s="15" t="s">
        <v>112</v>
      </c>
      <c r="E7" s="31" t="s">
        <v>123</v>
      </c>
      <c r="F7" s="20" t="s">
        <v>124</v>
      </c>
      <c r="G7" s="26">
        <v>15</v>
      </c>
      <c r="H7" s="26">
        <v>84</v>
      </c>
      <c r="I7" s="35">
        <f>H7</f>
        <v>84</v>
      </c>
      <c r="J7" s="23" t="s">
        <v>125</v>
      </c>
      <c r="K7" s="15" t="s">
        <v>78</v>
      </c>
      <c r="L7" s="34">
        <f>INDEX(Inputs!$B$17:$B$19,MATCH(K7,Inputs!$A$17:$A$19,0))</f>
        <v>0.5</v>
      </c>
      <c r="M7" s="15" t="s">
        <v>57</v>
      </c>
      <c r="N7" s="35">
        <f t="shared" si="0"/>
        <v>42</v>
      </c>
      <c r="O7" s="36">
        <f t="shared" si="1"/>
        <v>2.3217247097844111E-2</v>
      </c>
      <c r="P7" s="3">
        <f>O7*Inputs!$B$6</f>
        <v>2554825.8706467659</v>
      </c>
      <c r="Q7" s="17">
        <f t="shared" si="2"/>
        <v>25.54825870646766</v>
      </c>
    </row>
    <row r="8" spans="1:17" ht="26.4" x14ac:dyDescent="0.3">
      <c r="A8" s="31">
        <v>1</v>
      </c>
      <c r="B8" s="31" t="s">
        <v>126</v>
      </c>
      <c r="C8" s="20" t="s">
        <v>127</v>
      </c>
      <c r="D8" s="15" t="s">
        <v>112</v>
      </c>
      <c r="E8" s="31" t="s">
        <v>128</v>
      </c>
      <c r="F8" s="20" t="s">
        <v>129</v>
      </c>
      <c r="G8" s="26"/>
      <c r="H8" s="26"/>
      <c r="I8" s="32">
        <v>40</v>
      </c>
      <c r="J8" s="33" t="s">
        <v>130</v>
      </c>
      <c r="K8" s="15" t="s">
        <v>78</v>
      </c>
      <c r="L8" s="34">
        <f>INDEX(Inputs!$B$17:$B$19,MATCH(K8,Inputs!$A$17:$A$19,0))</f>
        <v>0.5</v>
      </c>
      <c r="M8" s="15" t="s">
        <v>57</v>
      </c>
      <c r="N8" s="35">
        <f t="shared" si="0"/>
        <v>20</v>
      </c>
      <c r="O8" s="36">
        <f t="shared" si="1"/>
        <v>1.1055831951354339E-2</v>
      </c>
      <c r="P8" s="3">
        <f>O8*Inputs!$B$6</f>
        <v>1216583.7479270315</v>
      </c>
      <c r="Q8" s="17">
        <f t="shared" si="2"/>
        <v>12.165837479270316</v>
      </c>
    </row>
    <row r="9" spans="1:17" x14ac:dyDescent="0.3">
      <c r="A9" s="31">
        <v>2</v>
      </c>
      <c r="B9" s="31" t="s">
        <v>131</v>
      </c>
      <c r="C9" s="20" t="s">
        <v>132</v>
      </c>
      <c r="D9" s="15" t="s">
        <v>112</v>
      </c>
      <c r="E9" s="31" t="s">
        <v>133</v>
      </c>
      <c r="F9" s="20" t="s">
        <v>134</v>
      </c>
      <c r="G9" s="26">
        <v>10</v>
      </c>
      <c r="H9" s="26">
        <v>57</v>
      </c>
      <c r="I9" s="35">
        <f t="shared" ref="I9:I15" si="3">H9</f>
        <v>57</v>
      </c>
      <c r="J9" s="23" t="s">
        <v>135</v>
      </c>
      <c r="K9" s="15" t="s">
        <v>74</v>
      </c>
      <c r="L9" s="34">
        <f>INDEX(Inputs!$B$17:$B$19,MATCH(K9,Inputs!$A$17:$A$19,0))</f>
        <v>1</v>
      </c>
      <c r="M9" s="15" t="s">
        <v>57</v>
      </c>
      <c r="N9" s="35">
        <f t="shared" si="0"/>
        <v>57</v>
      </c>
      <c r="O9" s="36">
        <f t="shared" si="1"/>
        <v>3.150912106135987E-2</v>
      </c>
      <c r="P9" s="3">
        <f>O9*Inputs!$B$6</f>
        <v>3467263.6815920402</v>
      </c>
      <c r="Q9" s="17">
        <f t="shared" si="2"/>
        <v>34.672636815920406</v>
      </c>
    </row>
    <row r="10" spans="1:17" x14ac:dyDescent="0.3">
      <c r="A10" s="31">
        <v>3</v>
      </c>
      <c r="B10" s="31" t="s">
        <v>136</v>
      </c>
      <c r="C10" s="20" t="s">
        <v>137</v>
      </c>
      <c r="D10" s="15" t="s">
        <v>138</v>
      </c>
      <c r="E10" s="31" t="s">
        <v>139</v>
      </c>
      <c r="F10" s="20" t="s">
        <v>140</v>
      </c>
      <c r="G10" s="26">
        <v>12</v>
      </c>
      <c r="H10" s="26">
        <v>46</v>
      </c>
      <c r="I10" s="35">
        <f t="shared" si="3"/>
        <v>46</v>
      </c>
      <c r="J10" s="23" t="s">
        <v>141</v>
      </c>
      <c r="K10" s="15" t="s">
        <v>78</v>
      </c>
      <c r="L10" s="34">
        <f>INDEX(Inputs!$B$17:$B$19,MATCH(K10,Inputs!$A$17:$A$19,0))</f>
        <v>0.5</v>
      </c>
      <c r="M10" s="15" t="s">
        <v>57</v>
      </c>
      <c r="N10" s="35">
        <f t="shared" si="0"/>
        <v>23</v>
      </c>
      <c r="O10" s="36">
        <f t="shared" si="1"/>
        <v>1.271420674405749E-2</v>
      </c>
      <c r="P10" s="3">
        <f>O10*Inputs!$B$6</f>
        <v>1399071.3101160862</v>
      </c>
      <c r="Q10" s="17">
        <f t="shared" si="2"/>
        <v>13.990713101160862</v>
      </c>
    </row>
    <row r="11" spans="1:17" x14ac:dyDescent="0.3">
      <c r="A11" s="31">
        <v>3</v>
      </c>
      <c r="B11" s="31" t="s">
        <v>142</v>
      </c>
      <c r="C11" s="20" t="s">
        <v>143</v>
      </c>
      <c r="D11" s="15" t="s">
        <v>138</v>
      </c>
      <c r="E11" s="31" t="s">
        <v>144</v>
      </c>
      <c r="F11" s="20" t="s">
        <v>145</v>
      </c>
      <c r="G11" s="26">
        <v>12</v>
      </c>
      <c r="H11" s="26">
        <v>46</v>
      </c>
      <c r="I11" s="35">
        <f t="shared" si="3"/>
        <v>46</v>
      </c>
      <c r="J11" s="23" t="s">
        <v>146</v>
      </c>
      <c r="K11" s="15" t="s">
        <v>76</v>
      </c>
      <c r="L11" s="34">
        <f>INDEX(Inputs!$B$17:$B$19,MATCH(K11,Inputs!$A$17:$A$19,0))</f>
        <v>0.5</v>
      </c>
      <c r="M11" s="15" t="s">
        <v>57</v>
      </c>
      <c r="N11" s="35">
        <f t="shared" si="0"/>
        <v>23</v>
      </c>
      <c r="O11" s="36">
        <f t="shared" si="1"/>
        <v>1.271420674405749E-2</v>
      </c>
      <c r="P11" s="3">
        <f>O11*Inputs!$B$6</f>
        <v>1399071.3101160862</v>
      </c>
      <c r="Q11" s="17">
        <f t="shared" si="2"/>
        <v>13.990713101160862</v>
      </c>
    </row>
    <row r="12" spans="1:17" x14ac:dyDescent="0.3">
      <c r="A12" s="31">
        <v>3</v>
      </c>
      <c r="B12" s="31" t="s">
        <v>147</v>
      </c>
      <c r="C12" s="20" t="s">
        <v>148</v>
      </c>
      <c r="D12" s="15" t="s">
        <v>138</v>
      </c>
      <c r="E12" s="31" t="s">
        <v>149</v>
      </c>
      <c r="F12" s="20" t="s">
        <v>150</v>
      </c>
      <c r="G12" s="26">
        <v>12</v>
      </c>
      <c r="H12" s="26">
        <v>46</v>
      </c>
      <c r="I12" s="35">
        <f t="shared" si="3"/>
        <v>46</v>
      </c>
      <c r="J12" s="23" t="s">
        <v>151</v>
      </c>
      <c r="K12" s="15" t="s">
        <v>76</v>
      </c>
      <c r="L12" s="34">
        <f>INDEX(Inputs!$B$17:$B$19,MATCH(K12,Inputs!$A$17:$A$19,0))</f>
        <v>0.5</v>
      </c>
      <c r="M12" s="15" t="s">
        <v>57</v>
      </c>
      <c r="N12" s="35">
        <f t="shared" si="0"/>
        <v>23</v>
      </c>
      <c r="O12" s="36">
        <f t="shared" si="1"/>
        <v>1.271420674405749E-2</v>
      </c>
      <c r="P12" s="3">
        <f>O12*Inputs!$B$6</f>
        <v>1399071.3101160862</v>
      </c>
      <c r="Q12" s="17">
        <f t="shared" si="2"/>
        <v>13.990713101160862</v>
      </c>
    </row>
    <row r="13" spans="1:17" x14ac:dyDescent="0.3">
      <c r="A13" s="31">
        <v>3</v>
      </c>
      <c r="B13" s="31" t="s">
        <v>152</v>
      </c>
      <c r="C13" s="20" t="s">
        <v>153</v>
      </c>
      <c r="D13" s="15" t="s">
        <v>138</v>
      </c>
      <c r="E13" s="31" t="s">
        <v>154</v>
      </c>
      <c r="F13" s="20" t="s">
        <v>155</v>
      </c>
      <c r="G13" s="26">
        <v>16</v>
      </c>
      <c r="H13" s="26">
        <v>83</v>
      </c>
      <c r="I13" s="35">
        <f t="shared" si="3"/>
        <v>83</v>
      </c>
      <c r="J13" s="23" t="s">
        <v>156</v>
      </c>
      <c r="K13" s="15" t="s">
        <v>74</v>
      </c>
      <c r="L13" s="34">
        <f>INDEX(Inputs!$B$17:$B$19,MATCH(K13,Inputs!$A$17:$A$19,0))</f>
        <v>1</v>
      </c>
      <c r="M13" s="15" t="s">
        <v>57</v>
      </c>
      <c r="N13" s="35">
        <f t="shared" si="0"/>
        <v>83</v>
      </c>
      <c r="O13" s="36">
        <f t="shared" si="1"/>
        <v>4.5881702598120508E-2</v>
      </c>
      <c r="P13" s="3">
        <f>O13*Inputs!$B$6</f>
        <v>5048822.5538971806</v>
      </c>
      <c r="Q13" s="17">
        <f t="shared" si="2"/>
        <v>50.488225538971804</v>
      </c>
    </row>
    <row r="14" spans="1:17" x14ac:dyDescent="0.3">
      <c r="A14" s="31">
        <v>3</v>
      </c>
      <c r="B14" s="31" t="s">
        <v>157</v>
      </c>
      <c r="C14" s="20" t="s">
        <v>158</v>
      </c>
      <c r="D14" s="15" t="s">
        <v>138</v>
      </c>
      <c r="E14" s="31" t="s">
        <v>159</v>
      </c>
      <c r="F14" s="20" t="s">
        <v>160</v>
      </c>
      <c r="G14" s="26">
        <v>16</v>
      </c>
      <c r="H14" s="26">
        <v>83</v>
      </c>
      <c r="I14" s="35">
        <f t="shared" si="3"/>
        <v>83</v>
      </c>
      <c r="J14" s="23" t="s">
        <v>161</v>
      </c>
      <c r="K14" s="15" t="s">
        <v>76</v>
      </c>
      <c r="L14" s="34">
        <f>INDEX(Inputs!$B$17:$B$19,MATCH(K14,Inputs!$A$17:$A$19,0))</f>
        <v>0.5</v>
      </c>
      <c r="M14" s="15" t="s">
        <v>57</v>
      </c>
      <c r="N14" s="35">
        <f t="shared" si="0"/>
        <v>41.5</v>
      </c>
      <c r="O14" s="36">
        <f t="shared" si="1"/>
        <v>2.2940851299060254E-2</v>
      </c>
      <c r="P14" s="3">
        <f>O14*Inputs!$B$6</f>
        <v>2524411.2769485903</v>
      </c>
      <c r="Q14" s="17">
        <f t="shared" si="2"/>
        <v>25.244112769485902</v>
      </c>
    </row>
    <row r="15" spans="1:17" x14ac:dyDescent="0.3">
      <c r="A15" s="31">
        <v>3</v>
      </c>
      <c r="B15" s="31" t="s">
        <v>162</v>
      </c>
      <c r="C15" s="20" t="s">
        <v>163</v>
      </c>
      <c r="D15" s="15" t="s">
        <v>138</v>
      </c>
      <c r="E15" s="31" t="s">
        <v>164</v>
      </c>
      <c r="F15" s="20" t="s">
        <v>163</v>
      </c>
      <c r="G15" s="26">
        <v>16</v>
      </c>
      <c r="H15" s="26">
        <v>83</v>
      </c>
      <c r="I15" s="35">
        <f t="shared" si="3"/>
        <v>83</v>
      </c>
      <c r="J15" s="23" t="s">
        <v>165</v>
      </c>
      <c r="K15" s="15" t="s">
        <v>76</v>
      </c>
      <c r="L15" s="34">
        <f>INDEX(Inputs!$B$17:$B$19,MATCH(K15,Inputs!$A$17:$A$19,0))</f>
        <v>0.5</v>
      </c>
      <c r="M15" s="15" t="s">
        <v>57</v>
      </c>
      <c r="N15" s="35">
        <f t="shared" si="0"/>
        <v>41.5</v>
      </c>
      <c r="O15" s="36">
        <f t="shared" si="1"/>
        <v>2.2940851299060254E-2</v>
      </c>
      <c r="P15" s="3">
        <f>O15*Inputs!$B$6</f>
        <v>2524411.2769485903</v>
      </c>
      <c r="Q15" s="17">
        <f t="shared" si="2"/>
        <v>25.244112769485902</v>
      </c>
    </row>
    <row r="16" spans="1:17" ht="39.6" x14ac:dyDescent="0.3">
      <c r="A16" s="31">
        <v>3</v>
      </c>
      <c r="B16" s="31" t="s">
        <v>166</v>
      </c>
      <c r="C16" s="20" t="s">
        <v>167</v>
      </c>
      <c r="D16" s="15" t="s">
        <v>138</v>
      </c>
      <c r="E16" s="31" t="s">
        <v>113</v>
      </c>
      <c r="F16" s="20" t="s">
        <v>168</v>
      </c>
      <c r="G16" s="26"/>
      <c r="H16" s="26"/>
      <c r="I16" s="32">
        <v>30</v>
      </c>
      <c r="J16" s="33" t="s">
        <v>169</v>
      </c>
      <c r="K16" s="15" t="s">
        <v>74</v>
      </c>
      <c r="L16" s="34">
        <f>INDEX(Inputs!$B$17:$B$19,MATCH(K16,Inputs!$A$17:$A$19,0))</f>
        <v>1</v>
      </c>
      <c r="M16" s="15" t="s">
        <v>57</v>
      </c>
      <c r="N16" s="35">
        <f t="shared" si="0"/>
        <v>30</v>
      </c>
      <c r="O16" s="36">
        <f t="shared" si="1"/>
        <v>1.658374792703151E-2</v>
      </c>
      <c r="P16" s="3">
        <f>O16*Inputs!$B$6</f>
        <v>1824875.6218905475</v>
      </c>
      <c r="Q16" s="17">
        <f t="shared" si="2"/>
        <v>18.248756218905474</v>
      </c>
    </row>
    <row r="17" spans="1:17" x14ac:dyDescent="0.3">
      <c r="A17" s="31">
        <v>4</v>
      </c>
      <c r="B17" s="31" t="s">
        <v>170</v>
      </c>
      <c r="C17" s="20" t="s">
        <v>171</v>
      </c>
      <c r="D17" s="15" t="s">
        <v>172</v>
      </c>
      <c r="E17" s="31" t="s">
        <v>173</v>
      </c>
      <c r="F17" s="20" t="s">
        <v>171</v>
      </c>
      <c r="G17" s="26">
        <v>20</v>
      </c>
      <c r="H17" s="26">
        <v>67</v>
      </c>
      <c r="I17" s="35">
        <f t="shared" ref="I17:I22" si="4">H17</f>
        <v>67</v>
      </c>
      <c r="J17" s="23" t="s">
        <v>174</v>
      </c>
      <c r="K17" s="15" t="s">
        <v>74</v>
      </c>
      <c r="L17" s="34">
        <f>INDEX(Inputs!$B$17:$B$19,MATCH(K17,Inputs!$A$17:$A$19,0))</f>
        <v>1</v>
      </c>
      <c r="M17" s="15" t="s">
        <v>57</v>
      </c>
      <c r="N17" s="35">
        <f t="shared" si="0"/>
        <v>67</v>
      </c>
      <c r="O17" s="36">
        <f t="shared" si="1"/>
        <v>3.7037037037037035E-2</v>
      </c>
      <c r="P17" s="3">
        <f>O17*Inputs!$B$6</f>
        <v>4075555.5555555555</v>
      </c>
      <c r="Q17" s="17">
        <f t="shared" si="2"/>
        <v>40.755555555555553</v>
      </c>
    </row>
    <row r="18" spans="1:17" x14ac:dyDescent="0.3">
      <c r="A18" s="31">
        <v>5</v>
      </c>
      <c r="B18" s="31" t="s">
        <v>175</v>
      </c>
      <c r="C18" s="20" t="s">
        <v>176</v>
      </c>
      <c r="D18" s="15" t="s">
        <v>172</v>
      </c>
      <c r="E18" s="31" t="s">
        <v>177</v>
      </c>
      <c r="F18" s="20" t="s">
        <v>176</v>
      </c>
      <c r="G18" s="26">
        <v>10</v>
      </c>
      <c r="H18" s="26">
        <v>72</v>
      </c>
      <c r="I18" s="35">
        <f t="shared" si="4"/>
        <v>72</v>
      </c>
      <c r="J18" s="23" t="s">
        <v>178</v>
      </c>
      <c r="K18" s="15" t="s">
        <v>74</v>
      </c>
      <c r="L18" s="34">
        <f>INDEX(Inputs!$B$17:$B$19,MATCH(K18,Inputs!$A$17:$A$19,0))</f>
        <v>1</v>
      </c>
      <c r="M18" s="15" t="s">
        <v>57</v>
      </c>
      <c r="N18" s="35">
        <f t="shared" si="0"/>
        <v>72</v>
      </c>
      <c r="O18" s="36">
        <f t="shared" si="1"/>
        <v>3.9800995024875621E-2</v>
      </c>
      <c r="P18" s="3">
        <f>O18*Inputs!$B$6</f>
        <v>4379701.4925373131</v>
      </c>
      <c r="Q18" s="17">
        <f t="shared" si="2"/>
        <v>43.797014925373134</v>
      </c>
    </row>
    <row r="19" spans="1:17" x14ac:dyDescent="0.3">
      <c r="A19" s="31">
        <v>6</v>
      </c>
      <c r="B19" s="31" t="s">
        <v>179</v>
      </c>
      <c r="C19" s="20" t="s">
        <v>180</v>
      </c>
      <c r="D19" s="15" t="s">
        <v>172</v>
      </c>
      <c r="E19" s="31" t="s">
        <v>181</v>
      </c>
      <c r="F19" s="20" t="s">
        <v>182</v>
      </c>
      <c r="G19" s="26">
        <v>12</v>
      </c>
      <c r="H19" s="26">
        <v>71</v>
      </c>
      <c r="I19" s="35">
        <f t="shared" si="4"/>
        <v>71</v>
      </c>
      <c r="J19" s="23" t="s">
        <v>183</v>
      </c>
      <c r="K19" s="15" t="s">
        <v>74</v>
      </c>
      <c r="L19" s="34">
        <f>INDEX(Inputs!$B$17:$B$19,MATCH(K19,Inputs!$A$17:$A$19,0))</f>
        <v>1</v>
      </c>
      <c r="M19" s="15" t="s">
        <v>57</v>
      </c>
      <c r="N19" s="35">
        <f t="shared" si="0"/>
        <v>71</v>
      </c>
      <c r="O19" s="36">
        <f t="shared" si="1"/>
        <v>3.9248203427307907E-2</v>
      </c>
      <c r="P19" s="3">
        <f>O19*Inputs!$B$6</f>
        <v>4318872.3051409619</v>
      </c>
      <c r="Q19" s="17">
        <f t="shared" si="2"/>
        <v>43.188723051409617</v>
      </c>
    </row>
    <row r="20" spans="1:17" x14ac:dyDescent="0.3">
      <c r="A20" s="31">
        <v>7</v>
      </c>
      <c r="B20" s="31" t="s">
        <v>184</v>
      </c>
      <c r="C20" s="20" t="s">
        <v>185</v>
      </c>
      <c r="D20" s="15" t="s">
        <v>172</v>
      </c>
      <c r="E20" s="31" t="s">
        <v>186</v>
      </c>
      <c r="F20" s="20" t="s">
        <v>187</v>
      </c>
      <c r="G20" s="26">
        <v>13</v>
      </c>
      <c r="H20" s="26">
        <v>48</v>
      </c>
      <c r="I20" s="35">
        <f t="shared" si="4"/>
        <v>48</v>
      </c>
      <c r="J20" s="23" t="s">
        <v>188</v>
      </c>
      <c r="K20" s="15" t="s">
        <v>78</v>
      </c>
      <c r="L20" s="34">
        <f>INDEX(Inputs!$B$17:$B$19,MATCH(K20,Inputs!$A$17:$A$19,0))</f>
        <v>0.5</v>
      </c>
      <c r="M20" s="15" t="s">
        <v>57</v>
      </c>
      <c r="N20" s="35">
        <f t="shared" si="0"/>
        <v>24</v>
      </c>
      <c r="O20" s="36">
        <f t="shared" si="1"/>
        <v>1.3266998341625208E-2</v>
      </c>
      <c r="P20" s="3">
        <f>O20*Inputs!$B$6</f>
        <v>1459900.4975124379</v>
      </c>
      <c r="Q20" s="17">
        <f t="shared" si="2"/>
        <v>14.599004975124378</v>
      </c>
    </row>
    <row r="21" spans="1:17" x14ac:dyDescent="0.3">
      <c r="A21" s="31">
        <v>7</v>
      </c>
      <c r="B21" s="31" t="s">
        <v>189</v>
      </c>
      <c r="C21" s="20" t="s">
        <v>190</v>
      </c>
      <c r="D21" s="15" t="s">
        <v>172</v>
      </c>
      <c r="E21" s="31" t="s">
        <v>191</v>
      </c>
      <c r="F21" s="20" t="s">
        <v>192</v>
      </c>
      <c r="G21" s="26">
        <v>13</v>
      </c>
      <c r="H21" s="26">
        <v>48</v>
      </c>
      <c r="I21" s="35">
        <f t="shared" si="4"/>
        <v>48</v>
      </c>
      <c r="J21" s="23" t="s">
        <v>193</v>
      </c>
      <c r="K21" s="15" t="s">
        <v>76</v>
      </c>
      <c r="L21" s="34">
        <f>INDEX(Inputs!$B$17:$B$19,MATCH(K21,Inputs!$A$17:$A$19,0))</f>
        <v>0.5</v>
      </c>
      <c r="M21" s="15" t="s">
        <v>57</v>
      </c>
      <c r="N21" s="35">
        <f t="shared" si="0"/>
        <v>24</v>
      </c>
      <c r="O21" s="36">
        <f t="shared" si="1"/>
        <v>1.3266998341625208E-2</v>
      </c>
      <c r="P21" s="3">
        <f>O21*Inputs!$B$6</f>
        <v>1459900.4975124379</v>
      </c>
      <c r="Q21" s="17">
        <f t="shared" si="2"/>
        <v>14.599004975124378</v>
      </c>
    </row>
    <row r="22" spans="1:17" x14ac:dyDescent="0.3">
      <c r="A22" s="31">
        <v>7</v>
      </c>
      <c r="B22" s="31" t="s">
        <v>194</v>
      </c>
      <c r="C22" s="20" t="s">
        <v>195</v>
      </c>
      <c r="D22" s="15" t="s">
        <v>172</v>
      </c>
      <c r="E22" s="31" t="s">
        <v>196</v>
      </c>
      <c r="F22" s="20" t="s">
        <v>195</v>
      </c>
      <c r="G22" s="26">
        <v>13</v>
      </c>
      <c r="H22" s="26">
        <v>45</v>
      </c>
      <c r="I22" s="35">
        <f t="shared" si="4"/>
        <v>45</v>
      </c>
      <c r="J22" s="23" t="s">
        <v>197</v>
      </c>
      <c r="K22" s="15" t="s">
        <v>76</v>
      </c>
      <c r="L22" s="34">
        <f>INDEX(Inputs!$B$17:$B$19,MATCH(K22,Inputs!$A$17:$A$19,0))</f>
        <v>0.5</v>
      </c>
      <c r="M22" s="15" t="s">
        <v>57</v>
      </c>
      <c r="N22" s="35">
        <f t="shared" si="0"/>
        <v>22.5</v>
      </c>
      <c r="O22" s="36">
        <f t="shared" si="1"/>
        <v>1.2437810945273632E-2</v>
      </c>
      <c r="P22" s="3">
        <f>O22*Inputs!$B$6</f>
        <v>1368656.7164179105</v>
      </c>
      <c r="Q22" s="17">
        <f t="shared" si="2"/>
        <v>13.686567164179106</v>
      </c>
    </row>
    <row r="23" spans="1:17" ht="22.8" x14ac:dyDescent="0.3">
      <c r="A23" s="31">
        <v>8</v>
      </c>
      <c r="B23" s="31" t="s">
        <v>198</v>
      </c>
      <c r="C23" s="20" t="s">
        <v>199</v>
      </c>
      <c r="D23" s="15" t="s">
        <v>200</v>
      </c>
      <c r="E23" s="31" t="s">
        <v>201</v>
      </c>
      <c r="F23" s="20" t="s">
        <v>202</v>
      </c>
      <c r="G23" s="26">
        <v>8</v>
      </c>
      <c r="H23" s="26">
        <v>49</v>
      </c>
      <c r="I23" s="37">
        <v>26</v>
      </c>
      <c r="J23" s="23" t="s">
        <v>203</v>
      </c>
      <c r="K23" s="15" t="s">
        <v>74</v>
      </c>
      <c r="L23" s="34">
        <f>INDEX(Inputs!$B$17:$B$19,MATCH(K23,Inputs!$A$17:$A$19,0))</f>
        <v>1</v>
      </c>
      <c r="M23" s="15" t="s">
        <v>57</v>
      </c>
      <c r="N23" s="35">
        <f t="shared" si="0"/>
        <v>26</v>
      </c>
      <c r="O23" s="36">
        <f t="shared" si="1"/>
        <v>1.4372581536760642E-2</v>
      </c>
      <c r="P23" s="3">
        <f>O23*Inputs!$B$6</f>
        <v>1581558.8723051411</v>
      </c>
      <c r="Q23" s="17">
        <f t="shared" si="2"/>
        <v>15.815588723051411</v>
      </c>
    </row>
    <row r="24" spans="1:17" ht="34.200000000000003" x14ac:dyDescent="0.3">
      <c r="A24" s="31">
        <v>9</v>
      </c>
      <c r="B24" s="31" t="s">
        <v>204</v>
      </c>
      <c r="C24" s="20" t="s">
        <v>205</v>
      </c>
      <c r="D24" s="15" t="s">
        <v>200</v>
      </c>
      <c r="E24" s="31" t="s">
        <v>201</v>
      </c>
      <c r="F24" s="20" t="s">
        <v>202</v>
      </c>
      <c r="G24" s="26">
        <v>8</v>
      </c>
      <c r="H24" s="26">
        <v>49</v>
      </c>
      <c r="I24" s="37">
        <v>11.5</v>
      </c>
      <c r="J24" s="23" t="s">
        <v>206</v>
      </c>
      <c r="K24" s="15" t="s">
        <v>74</v>
      </c>
      <c r="L24" s="34">
        <f>INDEX(Inputs!$B$17:$B$19,MATCH(K24,Inputs!$A$17:$A$19,0))</f>
        <v>1</v>
      </c>
      <c r="M24" s="15" t="s">
        <v>57</v>
      </c>
      <c r="N24" s="35">
        <f t="shared" si="0"/>
        <v>11.5</v>
      </c>
      <c r="O24" s="36">
        <f t="shared" si="1"/>
        <v>6.3571033720287448E-3</v>
      </c>
      <c r="P24" s="3">
        <f>O24*Inputs!$B$6</f>
        <v>699535.65505804308</v>
      </c>
      <c r="Q24" s="17">
        <f t="shared" si="2"/>
        <v>6.9953565505804312</v>
      </c>
    </row>
    <row r="25" spans="1:17" x14ac:dyDescent="0.3">
      <c r="A25" s="31">
        <v>9</v>
      </c>
      <c r="B25" s="31" t="s">
        <v>207</v>
      </c>
      <c r="C25" s="20" t="s">
        <v>208</v>
      </c>
      <c r="D25" s="15" t="s">
        <v>200</v>
      </c>
      <c r="E25" s="31" t="s">
        <v>201</v>
      </c>
      <c r="F25" s="20" t="s">
        <v>202</v>
      </c>
      <c r="G25" s="26">
        <v>8</v>
      </c>
      <c r="H25" s="26">
        <v>49</v>
      </c>
      <c r="I25" s="37">
        <v>11.5</v>
      </c>
      <c r="J25" s="23" t="s">
        <v>209</v>
      </c>
      <c r="K25" s="15" t="s">
        <v>74</v>
      </c>
      <c r="L25" s="34">
        <f>INDEX(Inputs!$B$17:$B$19,MATCH(K25,Inputs!$A$17:$A$19,0))</f>
        <v>1</v>
      </c>
      <c r="M25" s="15" t="s">
        <v>57</v>
      </c>
      <c r="N25" s="35">
        <f t="shared" si="0"/>
        <v>11.5</v>
      </c>
      <c r="O25" s="36">
        <f t="shared" si="1"/>
        <v>6.3571033720287448E-3</v>
      </c>
      <c r="P25" s="3">
        <f>O25*Inputs!$B$6</f>
        <v>699535.65505804308</v>
      </c>
      <c r="Q25" s="17">
        <f t="shared" si="2"/>
        <v>6.9953565505804312</v>
      </c>
    </row>
    <row r="26" spans="1:17" x14ac:dyDescent="0.3">
      <c r="A26" s="31">
        <v>10</v>
      </c>
      <c r="B26" s="31" t="s">
        <v>210</v>
      </c>
      <c r="C26" s="20" t="s">
        <v>211</v>
      </c>
      <c r="D26" s="15" t="s">
        <v>200</v>
      </c>
      <c r="E26" s="31" t="s">
        <v>212</v>
      </c>
      <c r="F26" s="20" t="s">
        <v>213</v>
      </c>
      <c r="G26" s="26">
        <v>12</v>
      </c>
      <c r="H26" s="26">
        <v>48</v>
      </c>
      <c r="I26" s="35">
        <f>H26/4</f>
        <v>12</v>
      </c>
      <c r="J26" s="23" t="s">
        <v>214</v>
      </c>
      <c r="K26" s="15" t="s">
        <v>74</v>
      </c>
      <c r="L26" s="34">
        <f>INDEX(Inputs!$B$17:$B$19,MATCH(K26,Inputs!$A$17:$A$19,0))</f>
        <v>1</v>
      </c>
      <c r="M26" s="15" t="s">
        <v>57</v>
      </c>
      <c r="N26" s="35">
        <f t="shared" si="0"/>
        <v>12</v>
      </c>
      <c r="O26" s="36">
        <f t="shared" si="1"/>
        <v>6.6334991708126038E-3</v>
      </c>
      <c r="P26" s="3">
        <f>O26*Inputs!$B$6</f>
        <v>729950.24875621893</v>
      </c>
      <c r="Q26" s="17">
        <f t="shared" si="2"/>
        <v>7.2995024875621892</v>
      </c>
    </row>
    <row r="27" spans="1:17" x14ac:dyDescent="0.3">
      <c r="A27" s="31">
        <v>10</v>
      </c>
      <c r="B27" s="31" t="s">
        <v>215</v>
      </c>
      <c r="C27" s="20" t="s">
        <v>216</v>
      </c>
      <c r="D27" s="15" t="s">
        <v>200</v>
      </c>
      <c r="E27" s="31" t="s">
        <v>212</v>
      </c>
      <c r="F27" s="20" t="s">
        <v>213</v>
      </c>
      <c r="G27" s="26">
        <v>12</v>
      </c>
      <c r="H27" s="26">
        <v>48</v>
      </c>
      <c r="I27" s="35">
        <f>H27/4</f>
        <v>12</v>
      </c>
      <c r="J27" s="23" t="s">
        <v>209</v>
      </c>
      <c r="K27" s="15" t="s">
        <v>74</v>
      </c>
      <c r="L27" s="34">
        <f>INDEX(Inputs!$B$17:$B$19,MATCH(K27,Inputs!$A$17:$A$19,0))</f>
        <v>1</v>
      </c>
      <c r="M27" s="15" t="s">
        <v>57</v>
      </c>
      <c r="N27" s="35">
        <f t="shared" si="0"/>
        <v>12</v>
      </c>
      <c r="O27" s="36">
        <f t="shared" si="1"/>
        <v>6.6334991708126038E-3</v>
      </c>
      <c r="P27" s="3">
        <f>O27*Inputs!$B$6</f>
        <v>729950.24875621893</v>
      </c>
      <c r="Q27" s="17">
        <f t="shared" si="2"/>
        <v>7.2995024875621892</v>
      </c>
    </row>
    <row r="28" spans="1:17" x14ac:dyDescent="0.3">
      <c r="A28" s="31">
        <v>10</v>
      </c>
      <c r="B28" s="31" t="s">
        <v>217</v>
      </c>
      <c r="C28" s="20" t="s">
        <v>218</v>
      </c>
      <c r="D28" s="15" t="s">
        <v>200</v>
      </c>
      <c r="E28" s="31" t="s">
        <v>212</v>
      </c>
      <c r="F28" s="20" t="s">
        <v>213</v>
      </c>
      <c r="G28" s="26">
        <v>12</v>
      </c>
      <c r="H28" s="26">
        <v>48</v>
      </c>
      <c r="I28" s="35">
        <f>H28/4</f>
        <v>12</v>
      </c>
      <c r="J28" s="23" t="s">
        <v>209</v>
      </c>
      <c r="K28" s="15" t="s">
        <v>74</v>
      </c>
      <c r="L28" s="34">
        <f>INDEX(Inputs!$B$17:$B$19,MATCH(K28,Inputs!$A$17:$A$19,0))</f>
        <v>1</v>
      </c>
      <c r="M28" s="15" t="s">
        <v>57</v>
      </c>
      <c r="N28" s="35">
        <f t="shared" si="0"/>
        <v>12</v>
      </c>
      <c r="O28" s="36">
        <f t="shared" si="1"/>
        <v>6.6334991708126038E-3</v>
      </c>
      <c r="P28" s="3">
        <f>O28*Inputs!$B$6</f>
        <v>729950.24875621893</v>
      </c>
      <c r="Q28" s="17">
        <f t="shared" si="2"/>
        <v>7.2995024875621892</v>
      </c>
    </row>
    <row r="29" spans="1:17" x14ac:dyDescent="0.3">
      <c r="A29" s="31">
        <v>10</v>
      </c>
      <c r="B29" s="31" t="s">
        <v>219</v>
      </c>
      <c r="C29" s="20" t="s">
        <v>220</v>
      </c>
      <c r="D29" s="15" t="s">
        <v>200</v>
      </c>
      <c r="E29" s="31" t="s">
        <v>212</v>
      </c>
      <c r="F29" s="20" t="s">
        <v>213</v>
      </c>
      <c r="G29" s="26">
        <v>12</v>
      </c>
      <c r="H29" s="26">
        <v>48</v>
      </c>
      <c r="I29" s="35">
        <f>H29/4</f>
        <v>12</v>
      </c>
      <c r="J29" s="23" t="s">
        <v>209</v>
      </c>
      <c r="K29" s="15" t="s">
        <v>74</v>
      </c>
      <c r="L29" s="34">
        <f>INDEX(Inputs!$B$17:$B$19,MATCH(K29,Inputs!$A$17:$A$19,0))</f>
        <v>1</v>
      </c>
      <c r="M29" s="15" t="s">
        <v>57</v>
      </c>
      <c r="N29" s="35">
        <f t="shared" si="0"/>
        <v>12</v>
      </c>
      <c r="O29" s="36">
        <f t="shared" si="1"/>
        <v>6.6334991708126038E-3</v>
      </c>
      <c r="P29" s="3">
        <f>O29*Inputs!$B$6</f>
        <v>729950.24875621893</v>
      </c>
      <c r="Q29" s="17">
        <f t="shared" si="2"/>
        <v>7.2995024875621892</v>
      </c>
    </row>
    <row r="30" spans="1:17" x14ac:dyDescent="0.3">
      <c r="A30" s="31">
        <v>11</v>
      </c>
      <c r="B30" s="31" t="s">
        <v>221</v>
      </c>
      <c r="C30" s="20" t="s">
        <v>222</v>
      </c>
      <c r="D30" s="15" t="s">
        <v>200</v>
      </c>
      <c r="E30" s="31" t="s">
        <v>223</v>
      </c>
      <c r="F30" s="20" t="s">
        <v>224</v>
      </c>
      <c r="G30" s="26">
        <v>12</v>
      </c>
      <c r="H30" s="26">
        <v>49</v>
      </c>
      <c r="I30" s="35">
        <f>H30/2</f>
        <v>24.5</v>
      </c>
      <c r="J30" s="23" t="s">
        <v>225</v>
      </c>
      <c r="K30" s="15" t="s">
        <v>74</v>
      </c>
      <c r="L30" s="34">
        <f>INDEX(Inputs!$B$17:$B$19,MATCH(K30,Inputs!$A$17:$A$19,0))</f>
        <v>1</v>
      </c>
      <c r="M30" s="15" t="s">
        <v>57</v>
      </c>
      <c r="N30" s="35">
        <f t="shared" si="0"/>
        <v>24.5</v>
      </c>
      <c r="O30" s="36">
        <f t="shared" si="1"/>
        <v>1.3543394140409067E-2</v>
      </c>
      <c r="P30" s="3">
        <f>O30*Inputs!$B$6</f>
        <v>1490315.0912106137</v>
      </c>
      <c r="Q30" s="17">
        <f t="shared" si="2"/>
        <v>14.903150912106137</v>
      </c>
    </row>
    <row r="31" spans="1:17" x14ac:dyDescent="0.3">
      <c r="A31" s="31">
        <v>11</v>
      </c>
      <c r="B31" s="31" t="s">
        <v>226</v>
      </c>
      <c r="C31" s="20" t="s">
        <v>227</v>
      </c>
      <c r="D31" s="15" t="s">
        <v>200</v>
      </c>
      <c r="E31" s="31" t="s">
        <v>223</v>
      </c>
      <c r="F31" s="20" t="s">
        <v>224</v>
      </c>
      <c r="G31" s="26">
        <v>12</v>
      </c>
      <c r="H31" s="26">
        <v>49</v>
      </c>
      <c r="I31" s="35">
        <f>H31/2</f>
        <v>24.5</v>
      </c>
      <c r="J31" s="23" t="s">
        <v>209</v>
      </c>
      <c r="K31" s="15" t="s">
        <v>74</v>
      </c>
      <c r="L31" s="34">
        <f>INDEX(Inputs!$B$17:$B$19,MATCH(K31,Inputs!$A$17:$A$19,0))</f>
        <v>1</v>
      </c>
      <c r="M31" s="15" t="s">
        <v>57</v>
      </c>
      <c r="N31" s="35">
        <f t="shared" si="0"/>
        <v>24.5</v>
      </c>
      <c r="O31" s="36">
        <f t="shared" si="1"/>
        <v>1.3543394140409067E-2</v>
      </c>
      <c r="P31" s="3">
        <f>O31*Inputs!$B$6</f>
        <v>1490315.0912106137</v>
      </c>
      <c r="Q31" s="17">
        <f t="shared" si="2"/>
        <v>14.903150912106137</v>
      </c>
    </row>
    <row r="32" spans="1:17" x14ac:dyDescent="0.3">
      <c r="A32" s="31">
        <v>12</v>
      </c>
      <c r="B32" s="31" t="s">
        <v>228</v>
      </c>
      <c r="C32" s="20" t="s">
        <v>229</v>
      </c>
      <c r="D32" s="15" t="s">
        <v>200</v>
      </c>
      <c r="E32" s="31" t="s">
        <v>230</v>
      </c>
      <c r="F32" s="20" t="s">
        <v>231</v>
      </c>
      <c r="G32" s="26">
        <v>13</v>
      </c>
      <c r="H32" s="26">
        <v>54</v>
      </c>
      <c r="I32" s="35">
        <f>H32</f>
        <v>54</v>
      </c>
      <c r="J32" s="23" t="s">
        <v>232</v>
      </c>
      <c r="K32" s="15" t="s">
        <v>74</v>
      </c>
      <c r="L32" s="34">
        <f>INDEX(Inputs!$B$17:$B$19,MATCH(K32,Inputs!$A$17:$A$19,0))</f>
        <v>1</v>
      </c>
      <c r="M32" s="15" t="s">
        <v>57</v>
      </c>
      <c r="N32" s="35">
        <f t="shared" si="0"/>
        <v>54</v>
      </c>
      <c r="O32" s="36">
        <f t="shared" si="1"/>
        <v>2.9850746268656716E-2</v>
      </c>
      <c r="P32" s="3">
        <f>O32*Inputs!$B$6</f>
        <v>3284776.1194029851</v>
      </c>
      <c r="Q32" s="17">
        <f t="shared" si="2"/>
        <v>32.84776119402985</v>
      </c>
    </row>
    <row r="33" spans="1:17" x14ac:dyDescent="0.3">
      <c r="A33" s="31">
        <v>12</v>
      </c>
      <c r="B33" s="31" t="s">
        <v>233</v>
      </c>
      <c r="C33" s="20" t="s">
        <v>234</v>
      </c>
      <c r="D33" s="15" t="s">
        <v>200</v>
      </c>
      <c r="E33" s="31" t="s">
        <v>235</v>
      </c>
      <c r="F33" s="20" t="s">
        <v>234</v>
      </c>
      <c r="G33" s="26">
        <v>13</v>
      </c>
      <c r="H33" s="26">
        <v>54</v>
      </c>
      <c r="I33" s="35">
        <f>H33</f>
        <v>54</v>
      </c>
      <c r="J33" s="23" t="s">
        <v>236</v>
      </c>
      <c r="K33" s="15" t="s">
        <v>76</v>
      </c>
      <c r="L33" s="34">
        <f>INDEX(Inputs!$B$17:$B$19,MATCH(K33,Inputs!$A$17:$A$19,0))</f>
        <v>0.5</v>
      </c>
      <c r="M33" s="15" t="s">
        <v>57</v>
      </c>
      <c r="N33" s="35">
        <f t="shared" si="0"/>
        <v>27</v>
      </c>
      <c r="O33" s="36">
        <f t="shared" si="1"/>
        <v>1.4925373134328358E-2</v>
      </c>
      <c r="P33" s="3">
        <f>O33*Inputs!$B$6</f>
        <v>1642388.0597014925</v>
      </c>
      <c r="Q33" s="17">
        <f t="shared" si="2"/>
        <v>16.423880597014925</v>
      </c>
    </row>
    <row r="34" spans="1:17" x14ac:dyDescent="0.3">
      <c r="A34" s="31">
        <v>13</v>
      </c>
      <c r="B34" s="31" t="s">
        <v>237</v>
      </c>
      <c r="C34" s="20" t="s">
        <v>238</v>
      </c>
      <c r="D34" s="15" t="s">
        <v>200</v>
      </c>
      <c r="E34" s="31" t="s">
        <v>239</v>
      </c>
      <c r="F34" s="20" t="s">
        <v>240</v>
      </c>
      <c r="G34" s="26">
        <v>13</v>
      </c>
      <c r="H34" s="26">
        <v>58</v>
      </c>
      <c r="I34" s="35">
        <f>H34/5</f>
        <v>11.6</v>
      </c>
      <c r="J34" s="23" t="s">
        <v>241</v>
      </c>
      <c r="K34" s="15" t="s">
        <v>74</v>
      </c>
      <c r="L34" s="34">
        <f>INDEX(Inputs!$B$17:$B$19,MATCH(K34,Inputs!$A$17:$A$19,0))</f>
        <v>1</v>
      </c>
      <c r="M34" s="15" t="s">
        <v>57</v>
      </c>
      <c r="N34" s="35">
        <f t="shared" si="0"/>
        <v>11.6</v>
      </c>
      <c r="O34" s="36">
        <f t="shared" si="1"/>
        <v>6.412382531785517E-3</v>
      </c>
      <c r="P34" s="3">
        <f>O34*Inputs!$B$6</f>
        <v>705618.57379767834</v>
      </c>
      <c r="Q34" s="17">
        <f t="shared" si="2"/>
        <v>7.0561857379767838</v>
      </c>
    </row>
    <row r="35" spans="1:17" x14ac:dyDescent="0.3">
      <c r="A35" s="31">
        <v>13</v>
      </c>
      <c r="B35" s="31" t="s">
        <v>242</v>
      </c>
      <c r="C35" s="20" t="s">
        <v>243</v>
      </c>
      <c r="D35" s="15" t="s">
        <v>200</v>
      </c>
      <c r="E35" s="31" t="s">
        <v>239</v>
      </c>
      <c r="F35" s="20" t="s">
        <v>240</v>
      </c>
      <c r="G35" s="26">
        <v>13</v>
      </c>
      <c r="H35" s="26">
        <v>58</v>
      </c>
      <c r="I35" s="35">
        <f>H35/5</f>
        <v>11.6</v>
      </c>
      <c r="J35" s="23" t="s">
        <v>209</v>
      </c>
      <c r="K35" s="15" t="s">
        <v>74</v>
      </c>
      <c r="L35" s="34">
        <f>INDEX(Inputs!$B$17:$B$19,MATCH(K35,Inputs!$A$17:$A$19,0))</f>
        <v>1</v>
      </c>
      <c r="M35" s="15" t="s">
        <v>57</v>
      </c>
      <c r="N35" s="35">
        <f t="shared" si="0"/>
        <v>11.6</v>
      </c>
      <c r="O35" s="36">
        <f t="shared" si="1"/>
        <v>6.412382531785517E-3</v>
      </c>
      <c r="P35" s="3">
        <f>O35*Inputs!$B$6</f>
        <v>705618.57379767834</v>
      </c>
      <c r="Q35" s="17">
        <f t="shared" si="2"/>
        <v>7.0561857379767838</v>
      </c>
    </row>
    <row r="36" spans="1:17" x14ac:dyDescent="0.3">
      <c r="A36" s="31">
        <v>13</v>
      </c>
      <c r="B36" s="31" t="s">
        <v>244</v>
      </c>
      <c r="C36" s="20" t="s">
        <v>245</v>
      </c>
      <c r="D36" s="15" t="s">
        <v>200</v>
      </c>
      <c r="E36" s="31" t="s">
        <v>239</v>
      </c>
      <c r="F36" s="20" t="s">
        <v>240</v>
      </c>
      <c r="G36" s="26">
        <v>13</v>
      </c>
      <c r="H36" s="26">
        <v>58</v>
      </c>
      <c r="I36" s="35">
        <f>H36/5</f>
        <v>11.6</v>
      </c>
      <c r="J36" s="23" t="s">
        <v>209</v>
      </c>
      <c r="K36" s="15" t="s">
        <v>74</v>
      </c>
      <c r="L36" s="34">
        <f>INDEX(Inputs!$B$17:$B$19,MATCH(K36,Inputs!$A$17:$A$19,0))</f>
        <v>1</v>
      </c>
      <c r="M36" s="15" t="s">
        <v>57</v>
      </c>
      <c r="N36" s="35">
        <f t="shared" si="0"/>
        <v>11.6</v>
      </c>
      <c r="O36" s="36">
        <f t="shared" si="1"/>
        <v>6.412382531785517E-3</v>
      </c>
      <c r="P36" s="3">
        <f>O36*Inputs!$B$6</f>
        <v>705618.57379767834</v>
      </c>
      <c r="Q36" s="17">
        <f t="shared" si="2"/>
        <v>7.0561857379767838</v>
      </c>
    </row>
    <row r="37" spans="1:17" x14ac:dyDescent="0.3">
      <c r="A37" s="31">
        <v>13</v>
      </c>
      <c r="B37" s="31" t="s">
        <v>246</v>
      </c>
      <c r="C37" s="20" t="s">
        <v>247</v>
      </c>
      <c r="D37" s="15" t="s">
        <v>200</v>
      </c>
      <c r="E37" s="31" t="s">
        <v>239</v>
      </c>
      <c r="F37" s="20" t="s">
        <v>240</v>
      </c>
      <c r="G37" s="26">
        <v>13</v>
      </c>
      <c r="H37" s="26">
        <v>58</v>
      </c>
      <c r="I37" s="35">
        <f>H37/5</f>
        <v>11.6</v>
      </c>
      <c r="J37" s="23" t="s">
        <v>209</v>
      </c>
      <c r="K37" s="15" t="s">
        <v>74</v>
      </c>
      <c r="L37" s="34">
        <f>INDEX(Inputs!$B$17:$B$19,MATCH(K37,Inputs!$A$17:$A$19,0))</f>
        <v>1</v>
      </c>
      <c r="M37" s="15" t="s">
        <v>57</v>
      </c>
      <c r="N37" s="35">
        <f t="shared" si="0"/>
        <v>11.6</v>
      </c>
      <c r="O37" s="36">
        <f t="shared" si="1"/>
        <v>6.412382531785517E-3</v>
      </c>
      <c r="P37" s="3">
        <f>O37*Inputs!$B$6</f>
        <v>705618.57379767834</v>
      </c>
      <c r="Q37" s="17">
        <f t="shared" si="2"/>
        <v>7.0561857379767838</v>
      </c>
    </row>
    <row r="38" spans="1:17" x14ac:dyDescent="0.3">
      <c r="A38" s="31">
        <v>13</v>
      </c>
      <c r="B38" s="31" t="s">
        <v>248</v>
      </c>
      <c r="C38" s="20" t="s">
        <v>249</v>
      </c>
      <c r="D38" s="15" t="s">
        <v>200</v>
      </c>
      <c r="E38" s="31" t="s">
        <v>239</v>
      </c>
      <c r="F38" s="20" t="s">
        <v>240</v>
      </c>
      <c r="G38" s="26">
        <v>13</v>
      </c>
      <c r="H38" s="26">
        <v>58</v>
      </c>
      <c r="I38" s="35">
        <f>H38/5</f>
        <v>11.6</v>
      </c>
      <c r="J38" s="23" t="s">
        <v>209</v>
      </c>
      <c r="K38" s="15" t="s">
        <v>74</v>
      </c>
      <c r="L38" s="34">
        <f>INDEX(Inputs!$B$17:$B$19,MATCH(K38,Inputs!$A$17:$A$19,0))</f>
        <v>1</v>
      </c>
      <c r="M38" s="15" t="s">
        <v>57</v>
      </c>
      <c r="N38" s="35">
        <f t="shared" si="0"/>
        <v>11.6</v>
      </c>
      <c r="O38" s="36">
        <f t="shared" si="1"/>
        <v>6.412382531785517E-3</v>
      </c>
      <c r="P38" s="3">
        <f>O38*Inputs!$B$6</f>
        <v>705618.57379767834</v>
      </c>
      <c r="Q38" s="17">
        <f t="shared" si="2"/>
        <v>7.0561857379767838</v>
      </c>
    </row>
    <row r="39" spans="1:17" x14ac:dyDescent="0.3">
      <c r="A39" s="31">
        <v>14</v>
      </c>
      <c r="B39" s="31" t="s">
        <v>250</v>
      </c>
      <c r="C39" s="20" t="s">
        <v>251</v>
      </c>
      <c r="D39" s="15" t="s">
        <v>252</v>
      </c>
      <c r="E39" s="31" t="s">
        <v>253</v>
      </c>
      <c r="F39" s="20" t="s">
        <v>254</v>
      </c>
      <c r="G39" s="26">
        <v>24</v>
      </c>
      <c r="H39" s="26">
        <v>174</v>
      </c>
      <c r="I39" s="35">
        <f>H39</f>
        <v>174</v>
      </c>
      <c r="J39" s="23" t="s">
        <v>255</v>
      </c>
      <c r="K39" s="15" t="s">
        <v>74</v>
      </c>
      <c r="L39" s="34">
        <f>INDEX(Inputs!$B$17:$B$19,MATCH(K39,Inputs!$A$17:$A$19,0))</f>
        <v>1</v>
      </c>
      <c r="M39" s="15" t="s">
        <v>57</v>
      </c>
      <c r="N39" s="35">
        <f t="shared" si="0"/>
        <v>174</v>
      </c>
      <c r="O39" s="36">
        <f t="shared" si="1"/>
        <v>9.6185737976782759E-2</v>
      </c>
      <c r="P39" s="3">
        <f>O39*Inputs!$B$6</f>
        <v>10584278.606965175</v>
      </c>
      <c r="Q39" s="17">
        <f t="shared" si="2"/>
        <v>105.84278606965175</v>
      </c>
    </row>
    <row r="40" spans="1:17" x14ac:dyDescent="0.3">
      <c r="A40" s="31">
        <v>14</v>
      </c>
      <c r="B40" s="31" t="s">
        <v>256</v>
      </c>
      <c r="C40" s="20" t="s">
        <v>257</v>
      </c>
      <c r="D40" s="15" t="s">
        <v>252</v>
      </c>
      <c r="E40" s="31" t="s">
        <v>258</v>
      </c>
      <c r="F40" s="20" t="s">
        <v>259</v>
      </c>
      <c r="G40" s="26">
        <v>14</v>
      </c>
      <c r="H40" s="26">
        <v>136</v>
      </c>
      <c r="I40" s="35">
        <f>H40</f>
        <v>136</v>
      </c>
      <c r="J40" s="23" t="s">
        <v>260</v>
      </c>
      <c r="K40" s="15" t="s">
        <v>76</v>
      </c>
      <c r="L40" s="34">
        <f>INDEX(Inputs!$B$17:$B$19,MATCH(K40,Inputs!$A$17:$A$19,0))</f>
        <v>0.5</v>
      </c>
      <c r="M40" s="15" t="s">
        <v>57</v>
      </c>
      <c r="N40" s="35">
        <f t="shared" si="0"/>
        <v>68</v>
      </c>
      <c r="O40" s="36">
        <f t="shared" si="1"/>
        <v>3.7589828634604756E-2</v>
      </c>
      <c r="P40" s="3">
        <f>O40*Inputs!$B$6</f>
        <v>4136384.7429519072</v>
      </c>
      <c r="Q40" s="17">
        <f t="shared" si="2"/>
        <v>41.363847429519069</v>
      </c>
    </row>
    <row r="41" spans="1:17" x14ac:dyDescent="0.3">
      <c r="A41" s="31">
        <v>14</v>
      </c>
      <c r="B41" s="31" t="s">
        <v>261</v>
      </c>
      <c r="C41" s="20" t="s">
        <v>262</v>
      </c>
      <c r="D41" s="15" t="s">
        <v>252</v>
      </c>
      <c r="E41" s="31" t="s">
        <v>113</v>
      </c>
      <c r="F41" s="20" t="s">
        <v>263</v>
      </c>
      <c r="G41" s="26"/>
      <c r="H41" s="26"/>
      <c r="I41" s="32">
        <v>50</v>
      </c>
      <c r="J41" s="33" t="s">
        <v>264</v>
      </c>
      <c r="K41" s="15" t="s">
        <v>76</v>
      </c>
      <c r="L41" s="34">
        <f>INDEX(Inputs!$B$17:$B$19,MATCH(K41,Inputs!$A$17:$A$19,0))</f>
        <v>0.5</v>
      </c>
      <c r="M41" s="15" t="s">
        <v>57</v>
      </c>
      <c r="N41" s="35">
        <f t="shared" si="0"/>
        <v>25</v>
      </c>
      <c r="O41" s="36">
        <f t="shared" si="1"/>
        <v>1.3819789939192924E-2</v>
      </c>
      <c r="P41" s="3">
        <f>O41*Inputs!$B$6</f>
        <v>1520729.6849087893</v>
      </c>
      <c r="Q41" s="17">
        <f t="shared" si="2"/>
        <v>15.207296849087893</v>
      </c>
    </row>
    <row r="42" spans="1:17" x14ac:dyDescent="0.3">
      <c r="A42" s="31">
        <v>15</v>
      </c>
      <c r="B42" s="31" t="s">
        <v>265</v>
      </c>
      <c r="C42" s="20" t="s">
        <v>266</v>
      </c>
      <c r="D42" s="15" t="s">
        <v>267</v>
      </c>
      <c r="E42" s="31" t="s">
        <v>268</v>
      </c>
      <c r="F42" s="20" t="s">
        <v>269</v>
      </c>
      <c r="G42" s="26">
        <v>16</v>
      </c>
      <c r="H42" s="26">
        <v>86</v>
      </c>
      <c r="I42" s="35">
        <f t="shared" ref="I42:I49" si="5">H42</f>
        <v>86</v>
      </c>
      <c r="J42" s="23" t="s">
        <v>270</v>
      </c>
      <c r="K42" s="15" t="s">
        <v>74</v>
      </c>
      <c r="L42" s="34">
        <f>INDEX(Inputs!$B$17:$B$19,MATCH(K42,Inputs!$A$17:$A$19,0))</f>
        <v>1</v>
      </c>
      <c r="M42" s="15" t="s">
        <v>57</v>
      </c>
      <c r="N42" s="35">
        <f t="shared" si="0"/>
        <v>86</v>
      </c>
      <c r="O42" s="36">
        <f t="shared" si="1"/>
        <v>4.7540077390823658E-2</v>
      </c>
      <c r="P42" s="3">
        <f>O42*Inputs!$B$6</f>
        <v>5231310.1160862353</v>
      </c>
      <c r="Q42" s="17">
        <f t="shared" si="2"/>
        <v>52.313101160862352</v>
      </c>
    </row>
    <row r="43" spans="1:17" x14ac:dyDescent="0.3">
      <c r="A43" s="31">
        <v>15</v>
      </c>
      <c r="B43" s="31" t="s">
        <v>271</v>
      </c>
      <c r="C43" s="20" t="s">
        <v>272</v>
      </c>
      <c r="D43" s="15" t="s">
        <v>267</v>
      </c>
      <c r="E43" s="31" t="s">
        <v>273</v>
      </c>
      <c r="F43" s="20" t="s">
        <v>274</v>
      </c>
      <c r="G43" s="26">
        <v>16</v>
      </c>
      <c r="H43" s="26">
        <v>86</v>
      </c>
      <c r="I43" s="35">
        <f t="shared" si="5"/>
        <v>86</v>
      </c>
      <c r="J43" s="23" t="s">
        <v>275</v>
      </c>
      <c r="K43" s="15" t="s">
        <v>76</v>
      </c>
      <c r="L43" s="34">
        <f>INDEX(Inputs!$B$17:$B$19,MATCH(K43,Inputs!$A$17:$A$19,0))</f>
        <v>0.5</v>
      </c>
      <c r="M43" s="15" t="s">
        <v>57</v>
      </c>
      <c r="N43" s="35">
        <f t="shared" si="0"/>
        <v>43</v>
      </c>
      <c r="O43" s="36">
        <f t="shared" si="1"/>
        <v>2.3770038695411829E-2</v>
      </c>
      <c r="P43" s="3">
        <f>O43*Inputs!$B$6</f>
        <v>2615655.0580431176</v>
      </c>
      <c r="Q43" s="17">
        <f t="shared" si="2"/>
        <v>26.156550580431176</v>
      </c>
    </row>
    <row r="44" spans="1:17" x14ac:dyDescent="0.3">
      <c r="A44" s="31">
        <v>15</v>
      </c>
      <c r="B44" s="31" t="s">
        <v>276</v>
      </c>
      <c r="C44" s="20" t="s">
        <v>277</v>
      </c>
      <c r="D44" s="15" t="s">
        <v>267</v>
      </c>
      <c r="E44" s="31" t="s">
        <v>278</v>
      </c>
      <c r="F44" s="20" t="s">
        <v>279</v>
      </c>
      <c r="G44" s="26">
        <v>16</v>
      </c>
      <c r="H44" s="26">
        <v>86</v>
      </c>
      <c r="I44" s="35">
        <f t="shared" si="5"/>
        <v>86</v>
      </c>
      <c r="J44" s="23" t="s">
        <v>280</v>
      </c>
      <c r="K44" s="15" t="s">
        <v>76</v>
      </c>
      <c r="L44" s="34">
        <f>INDEX(Inputs!$B$17:$B$19,MATCH(K44,Inputs!$A$17:$A$19,0))</f>
        <v>0.5</v>
      </c>
      <c r="M44" s="15" t="s">
        <v>57</v>
      </c>
      <c r="N44" s="35">
        <f t="shared" si="0"/>
        <v>43</v>
      </c>
      <c r="O44" s="36">
        <f t="shared" si="1"/>
        <v>2.3770038695411829E-2</v>
      </c>
      <c r="P44" s="3">
        <f>O44*Inputs!$B$6</f>
        <v>2615655.0580431176</v>
      </c>
      <c r="Q44" s="17">
        <f t="shared" si="2"/>
        <v>26.156550580431176</v>
      </c>
    </row>
    <row r="45" spans="1:17" ht="26.4" x14ac:dyDescent="0.3">
      <c r="A45" s="31">
        <v>16</v>
      </c>
      <c r="B45" s="31" t="s">
        <v>281</v>
      </c>
      <c r="C45" s="20" t="s">
        <v>282</v>
      </c>
      <c r="D45" s="15" t="s">
        <v>267</v>
      </c>
      <c r="E45" s="31" t="s">
        <v>283</v>
      </c>
      <c r="F45" s="20" t="s">
        <v>284</v>
      </c>
      <c r="G45" s="26">
        <v>12</v>
      </c>
      <c r="H45" s="26">
        <v>53</v>
      </c>
      <c r="I45" s="35">
        <f t="shared" si="5"/>
        <v>53</v>
      </c>
      <c r="J45" s="23" t="s">
        <v>285</v>
      </c>
      <c r="K45" s="15" t="s">
        <v>74</v>
      </c>
      <c r="L45" s="34">
        <f>INDEX(Inputs!$B$17:$B$19,MATCH(K45,Inputs!$A$17:$A$19,0))</f>
        <v>1</v>
      </c>
      <c r="M45" s="15" t="s">
        <v>57</v>
      </c>
      <c r="N45" s="35">
        <f t="shared" si="0"/>
        <v>53</v>
      </c>
      <c r="O45" s="36">
        <f t="shared" si="1"/>
        <v>2.9297954671088998E-2</v>
      </c>
      <c r="P45" s="3">
        <f>O45*Inputs!$B$6</f>
        <v>3223946.9320066334</v>
      </c>
      <c r="Q45" s="17">
        <f t="shared" si="2"/>
        <v>32.239469320066334</v>
      </c>
    </row>
    <row r="46" spans="1:17" ht="26.4" x14ac:dyDescent="0.3">
      <c r="A46" s="31">
        <v>16</v>
      </c>
      <c r="B46" s="31" t="s">
        <v>286</v>
      </c>
      <c r="C46" s="20" t="s">
        <v>287</v>
      </c>
      <c r="D46" s="15" t="s">
        <v>267</v>
      </c>
      <c r="E46" s="31" t="s">
        <v>288</v>
      </c>
      <c r="F46" s="20" t="s">
        <v>289</v>
      </c>
      <c r="G46" s="26">
        <v>12</v>
      </c>
      <c r="H46" s="26">
        <v>53</v>
      </c>
      <c r="I46" s="35">
        <f t="shared" si="5"/>
        <v>53</v>
      </c>
      <c r="J46" s="23" t="s">
        <v>290</v>
      </c>
      <c r="K46" s="15" t="s">
        <v>76</v>
      </c>
      <c r="L46" s="34">
        <f>INDEX(Inputs!$B$17:$B$19,MATCH(K46,Inputs!$A$17:$A$19,0))</f>
        <v>0.5</v>
      </c>
      <c r="M46" s="15" t="s">
        <v>57</v>
      </c>
      <c r="N46" s="35">
        <f t="shared" si="0"/>
        <v>26.5</v>
      </c>
      <c r="O46" s="36">
        <f t="shared" si="1"/>
        <v>1.4648977335544499E-2</v>
      </c>
      <c r="P46" s="3">
        <f>O46*Inputs!$B$6</f>
        <v>1611973.4660033167</v>
      </c>
      <c r="Q46" s="17">
        <f t="shared" si="2"/>
        <v>16.119734660033167</v>
      </c>
    </row>
    <row r="47" spans="1:17" x14ac:dyDescent="0.3">
      <c r="A47" s="31">
        <v>17</v>
      </c>
      <c r="B47" s="31" t="s">
        <v>291</v>
      </c>
      <c r="C47" s="20" t="s">
        <v>292</v>
      </c>
      <c r="D47" s="15" t="s">
        <v>267</v>
      </c>
      <c r="E47" s="31" t="s">
        <v>293</v>
      </c>
      <c r="F47" s="20" t="s">
        <v>294</v>
      </c>
      <c r="G47" s="26">
        <v>8</v>
      </c>
      <c r="H47" s="26">
        <v>34</v>
      </c>
      <c r="I47" s="35">
        <f t="shared" si="5"/>
        <v>34</v>
      </c>
      <c r="J47" s="23" t="s">
        <v>295</v>
      </c>
      <c r="K47" s="15" t="s">
        <v>74</v>
      </c>
      <c r="L47" s="34">
        <f>INDEX(Inputs!$B$17:$B$19,MATCH(K47,Inputs!$A$17:$A$19,0))</f>
        <v>1</v>
      </c>
      <c r="M47" s="15" t="s">
        <v>57</v>
      </c>
      <c r="N47" s="35">
        <f t="shared" si="0"/>
        <v>34</v>
      </c>
      <c r="O47" s="36">
        <f t="shared" si="1"/>
        <v>1.8794914317302378E-2</v>
      </c>
      <c r="P47" s="3">
        <f>O47*Inputs!$B$6</f>
        <v>2068192.3714759536</v>
      </c>
      <c r="Q47" s="17">
        <f t="shared" si="2"/>
        <v>20.681923714759535</v>
      </c>
    </row>
    <row r="48" spans="1:17" ht="26.4" x14ac:dyDescent="0.3">
      <c r="A48" s="31">
        <v>18</v>
      </c>
      <c r="B48" s="31" t="s">
        <v>296</v>
      </c>
      <c r="C48" s="20" t="s">
        <v>297</v>
      </c>
      <c r="D48" s="15" t="s">
        <v>298</v>
      </c>
      <c r="E48" s="31" t="s">
        <v>299</v>
      </c>
      <c r="F48" s="20" t="s">
        <v>300</v>
      </c>
      <c r="G48" s="26">
        <v>14</v>
      </c>
      <c r="H48" s="26">
        <v>59</v>
      </c>
      <c r="I48" s="35">
        <f t="shared" si="5"/>
        <v>59</v>
      </c>
      <c r="J48" s="23" t="s">
        <v>301</v>
      </c>
      <c r="K48" s="15" t="s">
        <v>74</v>
      </c>
      <c r="L48" s="34">
        <f>INDEX(Inputs!$B$17:$B$19,MATCH(K48,Inputs!$A$17:$A$19,0))</f>
        <v>1</v>
      </c>
      <c r="M48" s="15" t="s">
        <v>57</v>
      </c>
      <c r="N48" s="35">
        <f t="shared" si="0"/>
        <v>59</v>
      </c>
      <c r="O48" s="36">
        <f t="shared" si="1"/>
        <v>3.2614704256495299E-2</v>
      </c>
      <c r="P48" s="3">
        <f>O48*Inputs!$B$6</f>
        <v>3588922.0563847427</v>
      </c>
      <c r="Q48" s="17">
        <f t="shared" si="2"/>
        <v>35.889220563847424</v>
      </c>
    </row>
    <row r="49" spans="1:17" x14ac:dyDescent="0.3">
      <c r="A49" s="31">
        <v>19</v>
      </c>
      <c r="B49" s="31" t="s">
        <v>302</v>
      </c>
      <c r="C49" s="20" t="s">
        <v>303</v>
      </c>
      <c r="D49" s="15" t="s">
        <v>298</v>
      </c>
      <c r="E49" s="31" t="s">
        <v>304</v>
      </c>
      <c r="F49" s="20" t="s">
        <v>305</v>
      </c>
      <c r="G49" s="26">
        <v>12</v>
      </c>
      <c r="H49" s="26">
        <v>53</v>
      </c>
      <c r="I49" s="35">
        <f t="shared" si="5"/>
        <v>53</v>
      </c>
      <c r="J49" s="23" t="s">
        <v>306</v>
      </c>
      <c r="K49" s="15" t="s">
        <v>74</v>
      </c>
      <c r="L49" s="34">
        <f>INDEX(Inputs!$B$17:$B$19,MATCH(K49,Inputs!$A$17:$A$19,0))</f>
        <v>1</v>
      </c>
      <c r="M49" s="15" t="s">
        <v>57</v>
      </c>
      <c r="N49" s="35">
        <f t="shared" si="0"/>
        <v>53</v>
      </c>
      <c r="O49" s="36">
        <f t="shared" si="1"/>
        <v>2.9297954671088998E-2</v>
      </c>
      <c r="P49" s="3">
        <f>O49*Inputs!$B$6</f>
        <v>3223946.9320066334</v>
      </c>
      <c r="Q49" s="17">
        <f t="shared" si="2"/>
        <v>32.239469320066334</v>
      </c>
    </row>
    <row r="50" spans="1:17" ht="26.4" x14ac:dyDescent="0.3">
      <c r="A50" s="31">
        <v>20</v>
      </c>
      <c r="B50" s="31" t="s">
        <v>307</v>
      </c>
      <c r="C50" s="20" t="s">
        <v>308</v>
      </c>
      <c r="D50" s="15" t="s">
        <v>298</v>
      </c>
      <c r="E50" s="31" t="s">
        <v>113</v>
      </c>
      <c r="F50" s="20" t="s">
        <v>263</v>
      </c>
      <c r="G50" s="26"/>
      <c r="H50" s="26"/>
      <c r="I50" s="32">
        <v>30</v>
      </c>
      <c r="J50" s="33" t="s">
        <v>169</v>
      </c>
      <c r="K50" s="15" t="s">
        <v>74</v>
      </c>
      <c r="L50" s="34">
        <f>INDEX(Inputs!$B$17:$B$19,MATCH(K50,Inputs!$A$17:$A$19,0))</f>
        <v>1</v>
      </c>
      <c r="M50" s="15" t="s">
        <v>57</v>
      </c>
      <c r="N50" s="35">
        <f t="shared" si="0"/>
        <v>30</v>
      </c>
      <c r="O50" s="36">
        <f t="shared" si="1"/>
        <v>1.658374792703151E-2</v>
      </c>
      <c r="P50" s="3">
        <f>O50*Inputs!$B$6</f>
        <v>1824875.6218905475</v>
      </c>
      <c r="Q50" s="17">
        <f t="shared" si="2"/>
        <v>18.248756218905474</v>
      </c>
    </row>
    <row r="51" spans="1:17" ht="26.4" x14ac:dyDescent="0.3">
      <c r="A51" s="31">
        <v>21</v>
      </c>
      <c r="B51" s="31" t="s">
        <v>309</v>
      </c>
      <c r="C51" s="20" t="s">
        <v>310</v>
      </c>
      <c r="D51" s="15" t="s">
        <v>298</v>
      </c>
      <c r="E51" s="31" t="s">
        <v>311</v>
      </c>
      <c r="F51" s="20" t="s">
        <v>312</v>
      </c>
      <c r="G51" s="26">
        <v>12</v>
      </c>
      <c r="H51" s="26">
        <v>53</v>
      </c>
      <c r="I51" s="35">
        <f>H51</f>
        <v>53</v>
      </c>
      <c r="J51" s="23" t="s">
        <v>313</v>
      </c>
      <c r="K51" s="15" t="s">
        <v>74</v>
      </c>
      <c r="L51" s="34">
        <f>INDEX(Inputs!$B$17:$B$19,MATCH(K51,Inputs!$A$17:$A$19,0))</f>
        <v>1</v>
      </c>
      <c r="M51" s="15" t="s">
        <v>57</v>
      </c>
      <c r="N51" s="35">
        <f t="shared" si="0"/>
        <v>53</v>
      </c>
      <c r="O51" s="36">
        <f t="shared" si="1"/>
        <v>2.9297954671088998E-2</v>
      </c>
      <c r="P51" s="3">
        <f>O51*Inputs!$B$6</f>
        <v>3223946.9320066334</v>
      </c>
      <c r="Q51" s="17">
        <f t="shared" si="2"/>
        <v>32.239469320066334</v>
      </c>
    </row>
    <row r="52" spans="1:17" ht="26.4" x14ac:dyDescent="0.3">
      <c r="A52" s="31">
        <v>21</v>
      </c>
      <c r="B52" s="31" t="s">
        <v>309</v>
      </c>
      <c r="C52" s="20" t="s">
        <v>314</v>
      </c>
      <c r="D52" s="15" t="s">
        <v>298</v>
      </c>
      <c r="E52" s="31" t="s">
        <v>315</v>
      </c>
      <c r="F52" s="20" t="s">
        <v>316</v>
      </c>
      <c r="G52" s="26">
        <v>12</v>
      </c>
      <c r="H52" s="26">
        <v>55</v>
      </c>
      <c r="I52" s="35">
        <f>H52</f>
        <v>55</v>
      </c>
      <c r="J52" s="23" t="s">
        <v>317</v>
      </c>
      <c r="K52" s="15" t="s">
        <v>76</v>
      </c>
      <c r="L52" s="34">
        <f>INDEX(Inputs!$B$17:$B$19,MATCH(K52,Inputs!$A$17:$A$19,0))</f>
        <v>0.5</v>
      </c>
      <c r="M52" s="15" t="s">
        <v>57</v>
      </c>
      <c r="N52" s="35">
        <f t="shared" si="0"/>
        <v>27.5</v>
      </c>
      <c r="O52" s="36">
        <f t="shared" si="1"/>
        <v>1.5201768933112217E-2</v>
      </c>
      <c r="P52" s="3">
        <f>O52*Inputs!$B$6</f>
        <v>1672802.6533996684</v>
      </c>
      <c r="Q52" s="17">
        <f t="shared" si="2"/>
        <v>16.728026533996683</v>
      </c>
    </row>
    <row r="53" spans="1:17" x14ac:dyDescent="0.3">
      <c r="A53" s="11"/>
      <c r="B53" s="11"/>
      <c r="C53" s="12" t="s">
        <v>318</v>
      </c>
      <c r="D53" s="11"/>
      <c r="E53" s="11"/>
      <c r="F53" s="11"/>
      <c r="G53" s="11"/>
      <c r="H53" s="11"/>
      <c r="I53" s="38">
        <f>SUM(I5:I52)</f>
        <v>2377.9999999999995</v>
      </c>
      <c r="J53" s="11"/>
      <c r="K53" s="11"/>
      <c r="L53" s="11"/>
      <c r="M53" s="11"/>
      <c r="N53" s="38">
        <f>SUM(N5:N52)</f>
        <v>1809</v>
      </c>
      <c r="O53" s="39">
        <f>SUM(O5:O52)</f>
        <v>1.0000000000000004</v>
      </c>
      <c r="P53" s="13">
        <f>SUM(P5:P52)</f>
        <v>110039999.99999999</v>
      </c>
      <c r="Q53" s="19">
        <f>SUM(Q5:Q52)</f>
        <v>1100.3999999999996</v>
      </c>
    </row>
    <row r="54" spans="1:17" x14ac:dyDescent="0.3">
      <c r="C54" s="2" t="s">
        <v>319</v>
      </c>
      <c r="P54" s="2" t="str">
        <f>IF(ABS(P53-Inputs!B6)&lt;1,"OK","ERROR")</f>
        <v>OK</v>
      </c>
    </row>
    <row r="55" spans="1:17" x14ac:dyDescent="0.3">
      <c r="C55" s="2" t="s">
        <v>320</v>
      </c>
      <c r="P55" s="40">
        <f>IF(N53=0,0,Inputs!B6/N53)</f>
        <v>60829.187396351575</v>
      </c>
    </row>
  </sheetData>
  <autoFilter ref="A4:Q52" xr:uid="{00000000-0009-0000-0000-000002000000}"/>
  <mergeCells count="1">
    <mergeCell ref="A2:Q2"/>
  </mergeCells>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W17"/>
  <sheetViews>
    <sheetView showGridLines="0" workbookViewId="0">
      <pane xSplit="2" ySplit="4" topLeftCell="C5" activePane="bottomRight" state="frozen"/>
      <selection pane="topRight"/>
      <selection pane="bottomLeft"/>
      <selection pane="bottomRight"/>
    </sheetView>
  </sheetViews>
  <sheetFormatPr defaultRowHeight="14.4" x14ac:dyDescent="0.3"/>
  <cols>
    <col min="1" max="1" width="8" customWidth="1"/>
    <col min="2" max="2" width="38" customWidth="1"/>
    <col min="3" max="3" width="13" customWidth="1"/>
    <col min="4" max="4" width="9" customWidth="1"/>
    <col min="5" max="6" width="15" customWidth="1"/>
    <col min="7" max="7" width="13" customWidth="1"/>
    <col min="8" max="8" width="15" customWidth="1"/>
    <col min="9" max="9" width="10" customWidth="1"/>
    <col min="10" max="10" width="11" customWidth="1"/>
    <col min="11" max="11" width="12" customWidth="1"/>
    <col min="12" max="15" width="8" customWidth="1"/>
    <col min="16" max="16" width="10" customWidth="1"/>
    <col min="17" max="17" width="11" customWidth="1"/>
    <col min="18" max="22" width="13" customWidth="1"/>
    <col min="23" max="23" width="9" customWidth="1"/>
  </cols>
  <sheetData>
    <row r="1" spans="1:23" ht="17.399999999999999" x14ac:dyDescent="0.3">
      <c r="A1" s="1" t="s">
        <v>321</v>
      </c>
    </row>
    <row r="2" spans="1:23" ht="25.95" customHeight="1" x14ac:dyDescent="0.3">
      <c r="A2" s="62" t="s">
        <v>322</v>
      </c>
      <c r="B2" s="63"/>
      <c r="C2" s="63"/>
      <c r="D2" s="63"/>
      <c r="E2" s="63"/>
      <c r="F2" s="63"/>
      <c r="G2" s="63"/>
      <c r="H2" s="63"/>
      <c r="I2" s="63"/>
      <c r="J2" s="63"/>
      <c r="K2" s="63"/>
      <c r="L2" s="63"/>
      <c r="M2" s="63"/>
      <c r="N2" s="63"/>
      <c r="O2" s="63"/>
      <c r="P2" s="63"/>
      <c r="Q2" s="63"/>
      <c r="R2" s="63"/>
      <c r="S2" s="63"/>
      <c r="T2" s="63"/>
      <c r="U2" s="63"/>
      <c r="V2" s="63"/>
      <c r="W2" s="63"/>
    </row>
    <row r="4" spans="1:23" ht="55.95" customHeight="1" x14ac:dyDescent="0.3">
      <c r="A4" s="8" t="s">
        <v>9</v>
      </c>
      <c r="B4" s="8" t="s">
        <v>10</v>
      </c>
      <c r="C4" s="8" t="s">
        <v>323</v>
      </c>
      <c r="D4" s="8" t="s">
        <v>106</v>
      </c>
      <c r="E4" s="8" t="s">
        <v>324</v>
      </c>
      <c r="F4" s="8" t="s">
        <v>325</v>
      </c>
      <c r="G4" s="8" t="s">
        <v>326</v>
      </c>
      <c r="H4" s="8" t="s">
        <v>12</v>
      </c>
      <c r="I4" s="8" t="s">
        <v>327</v>
      </c>
      <c r="J4" s="8" t="s">
        <v>328</v>
      </c>
      <c r="K4" s="8" t="s">
        <v>15</v>
      </c>
      <c r="L4" s="8" t="s">
        <v>329</v>
      </c>
      <c r="M4" s="8" t="s">
        <v>330</v>
      </c>
      <c r="N4" s="8" t="s">
        <v>331</v>
      </c>
      <c r="O4" s="8" t="s">
        <v>332</v>
      </c>
      <c r="P4" s="8" t="s">
        <v>333</v>
      </c>
      <c r="Q4" s="8" t="s">
        <v>334</v>
      </c>
      <c r="R4" s="8" t="s">
        <v>335</v>
      </c>
      <c r="S4" s="8" t="s">
        <v>336</v>
      </c>
      <c r="T4" s="8" t="s">
        <v>86</v>
      </c>
      <c r="U4" s="8" t="s">
        <v>337</v>
      </c>
      <c r="V4" s="8" t="s">
        <v>338</v>
      </c>
      <c r="W4" s="8" t="s">
        <v>339</v>
      </c>
    </row>
    <row r="5" spans="1:23" ht="40.049999999999997" customHeight="1" x14ac:dyDescent="0.3">
      <c r="A5" s="41" t="s">
        <v>340</v>
      </c>
      <c r="B5" s="20" t="s">
        <v>341</v>
      </c>
      <c r="C5" s="31" t="s">
        <v>342</v>
      </c>
      <c r="D5" s="31" t="s">
        <v>113</v>
      </c>
      <c r="E5" s="3">
        <f>Inputs!B5</f>
        <v>1625000</v>
      </c>
      <c r="F5" s="3">
        <f>Inputs!B5</f>
        <v>1625000</v>
      </c>
      <c r="G5" s="16">
        <f>F5*Inputs!$B$8</f>
        <v>243750</v>
      </c>
      <c r="H5" s="16">
        <f t="shared" ref="H5:H12" si="0">F5+G5</f>
        <v>1868750</v>
      </c>
      <c r="I5" s="42">
        <f t="shared" ref="I5:I12" si="1">H5/10000000</f>
        <v>0.18687500000000001</v>
      </c>
      <c r="J5" s="41" t="str">
        <f>IF(IF(Inputs!$B$9="Y",H5,F5)&lt;=Inputs!$B$7,"OK","EXCEEDS")</f>
        <v>OK</v>
      </c>
      <c r="K5" s="28">
        <v>46235</v>
      </c>
      <c r="L5" s="31" t="s">
        <v>113</v>
      </c>
      <c r="M5" s="31" t="s">
        <v>113</v>
      </c>
      <c r="N5" s="31" t="s">
        <v>113</v>
      </c>
      <c r="O5" s="31" t="s">
        <v>113</v>
      </c>
      <c r="P5" s="31" t="s">
        <v>113</v>
      </c>
      <c r="Q5" s="31" t="s">
        <v>113</v>
      </c>
      <c r="R5" s="28">
        <v>46387</v>
      </c>
      <c r="S5" s="31" t="s">
        <v>113</v>
      </c>
      <c r="T5" s="31" t="s">
        <v>113</v>
      </c>
      <c r="U5" s="28">
        <v>46387</v>
      </c>
      <c r="V5" s="31" t="s">
        <v>113</v>
      </c>
      <c r="W5" s="43">
        <v>5</v>
      </c>
    </row>
    <row r="6" spans="1:23" ht="40.049999999999997" customHeight="1" x14ac:dyDescent="0.3">
      <c r="A6" s="41" t="s">
        <v>112</v>
      </c>
      <c r="B6" s="20" t="s">
        <v>343</v>
      </c>
      <c r="C6" s="31" t="s">
        <v>344</v>
      </c>
      <c r="D6" s="44">
        <f>SUMIF('Work Volume'!$D$5:$D$52,A6,'Work Volume'!$N$5:$N$52)</f>
        <v>203.5</v>
      </c>
      <c r="E6" s="3">
        <f>SUMIF('Work Volume'!$D$5:$D$52,A6,'Work Volume'!$P$5:$P$52)</f>
        <v>12378739.635157544</v>
      </c>
      <c r="F6" s="16">
        <f>ROUND(E6,Inputs!$B$14)</f>
        <v>12379000</v>
      </c>
      <c r="G6" s="16">
        <f>F6*Inputs!$B$8</f>
        <v>1856850</v>
      </c>
      <c r="H6" s="16">
        <f t="shared" si="0"/>
        <v>14235850</v>
      </c>
      <c r="I6" s="42">
        <f t="shared" si="1"/>
        <v>1.4235850000000001</v>
      </c>
      <c r="J6" s="41" t="str">
        <f>IF(IF(Inputs!$B$9="Y",H6,F6)&lt;=Inputs!$B$7,"OK","EXCEEDS")</f>
        <v>OK</v>
      </c>
      <c r="K6" s="28">
        <v>46388</v>
      </c>
      <c r="L6" s="43">
        <v>1</v>
      </c>
      <c r="M6" s="43">
        <v>3</v>
      </c>
      <c r="N6" s="43">
        <v>1</v>
      </c>
      <c r="O6" s="43">
        <v>1</v>
      </c>
      <c r="P6" s="43">
        <v>3</v>
      </c>
      <c r="Q6" s="45">
        <f t="shared" ref="Q6:Q12" si="2">L6+M6+N6+O6</f>
        <v>6</v>
      </c>
      <c r="R6" s="46">
        <f t="shared" ref="R6:R12" si="3">EOMONTH(K6,-2)</f>
        <v>46356</v>
      </c>
      <c r="S6" s="46">
        <f t="shared" ref="S6:S12" si="4">EOMONTH(K6,L6-1)</f>
        <v>46418</v>
      </c>
      <c r="T6" s="46">
        <f t="shared" ref="T6:T12" si="5">EOMONTH(K6,L6+M6+N6-1)</f>
        <v>46538</v>
      </c>
      <c r="U6" s="47">
        <f t="shared" ref="U6:U12" si="6">EOMONTH(K6,Q6-1)</f>
        <v>46568</v>
      </c>
      <c r="V6" s="46">
        <f t="shared" ref="V6:V12" si="7">EOMONTH(K6,Q6+P6-1)</f>
        <v>46660</v>
      </c>
      <c r="W6" s="48">
        <f>COUNTIFS('Work Volume'!$D$5:$D$52,A6,'Work Volume'!$M$5:$M$52,"Y")</f>
        <v>5</v>
      </c>
    </row>
    <row r="7" spans="1:23" ht="40.049999999999997" customHeight="1" x14ac:dyDescent="0.3">
      <c r="A7" s="41" t="s">
        <v>138</v>
      </c>
      <c r="B7" s="20" t="s">
        <v>345</v>
      </c>
      <c r="C7" s="31" t="s">
        <v>346</v>
      </c>
      <c r="D7" s="44">
        <f>SUMIF('Work Volume'!$D$5:$D$52,A7,'Work Volume'!$N$5:$N$52)</f>
        <v>265</v>
      </c>
      <c r="E7" s="3">
        <f>SUMIF('Work Volume'!$D$5:$D$52,A7,'Work Volume'!$P$5:$P$52)</f>
        <v>16119734.660033165</v>
      </c>
      <c r="F7" s="16">
        <f>ROUND(E7,Inputs!$B$14)</f>
        <v>16120000</v>
      </c>
      <c r="G7" s="16">
        <f>F7*Inputs!$B$8</f>
        <v>2418000</v>
      </c>
      <c r="H7" s="16">
        <f t="shared" si="0"/>
        <v>18538000</v>
      </c>
      <c r="I7" s="42">
        <f t="shared" si="1"/>
        <v>1.8537999999999999</v>
      </c>
      <c r="J7" s="41" t="str">
        <f>IF(IF(Inputs!$B$9="Y",H7,F7)&lt;=Inputs!$B$7,"OK","EXCEEDS")</f>
        <v>OK</v>
      </c>
      <c r="K7" s="28">
        <v>46447</v>
      </c>
      <c r="L7" s="43">
        <v>2</v>
      </c>
      <c r="M7" s="43">
        <v>5</v>
      </c>
      <c r="N7" s="43">
        <v>1</v>
      </c>
      <c r="O7" s="43">
        <v>1</v>
      </c>
      <c r="P7" s="43">
        <v>3</v>
      </c>
      <c r="Q7" s="45">
        <f t="shared" si="2"/>
        <v>9</v>
      </c>
      <c r="R7" s="46">
        <f t="shared" si="3"/>
        <v>46418</v>
      </c>
      <c r="S7" s="46">
        <f t="shared" si="4"/>
        <v>46507</v>
      </c>
      <c r="T7" s="46">
        <f t="shared" si="5"/>
        <v>46691</v>
      </c>
      <c r="U7" s="47">
        <f t="shared" si="6"/>
        <v>46721</v>
      </c>
      <c r="V7" s="46">
        <f t="shared" si="7"/>
        <v>46812</v>
      </c>
      <c r="W7" s="48">
        <f>COUNTIFS('Work Volume'!$D$5:$D$52,A7,'Work Volume'!$M$5:$M$52,"Y")</f>
        <v>7</v>
      </c>
    </row>
    <row r="8" spans="1:23" ht="40.049999999999997" customHeight="1" x14ac:dyDescent="0.3">
      <c r="A8" s="41" t="s">
        <v>172</v>
      </c>
      <c r="B8" s="20" t="s">
        <v>347</v>
      </c>
      <c r="C8" s="31" t="s">
        <v>348</v>
      </c>
      <c r="D8" s="44">
        <f>SUMIF('Work Volume'!$D$5:$D$52,A8,'Work Volume'!$N$5:$N$52)</f>
        <v>280.5</v>
      </c>
      <c r="E8" s="3">
        <f>SUMIF('Work Volume'!$D$5:$D$52,A8,'Work Volume'!$P$5:$P$52)</f>
        <v>17062587.064676613</v>
      </c>
      <c r="F8" s="16">
        <f>ROUND(E8,Inputs!$B$14)</f>
        <v>17063000</v>
      </c>
      <c r="G8" s="16">
        <f>F8*Inputs!$B$8</f>
        <v>2559450</v>
      </c>
      <c r="H8" s="16">
        <f t="shared" si="0"/>
        <v>19622450</v>
      </c>
      <c r="I8" s="42">
        <f t="shared" si="1"/>
        <v>1.962245</v>
      </c>
      <c r="J8" s="41" t="str">
        <f>IF(IF(Inputs!$B$9="Y",H8,F8)&lt;=Inputs!$B$7,"OK","EXCEEDS")</f>
        <v>OK</v>
      </c>
      <c r="K8" s="28">
        <v>46419</v>
      </c>
      <c r="L8" s="43">
        <v>2</v>
      </c>
      <c r="M8" s="43">
        <v>6</v>
      </c>
      <c r="N8" s="43">
        <v>1</v>
      </c>
      <c r="O8" s="43">
        <v>1</v>
      </c>
      <c r="P8" s="43">
        <v>3</v>
      </c>
      <c r="Q8" s="45">
        <f t="shared" si="2"/>
        <v>10</v>
      </c>
      <c r="R8" s="46">
        <f t="shared" si="3"/>
        <v>46387</v>
      </c>
      <c r="S8" s="46">
        <f t="shared" si="4"/>
        <v>46477</v>
      </c>
      <c r="T8" s="46">
        <f t="shared" si="5"/>
        <v>46691</v>
      </c>
      <c r="U8" s="47">
        <f t="shared" si="6"/>
        <v>46721</v>
      </c>
      <c r="V8" s="46">
        <f t="shared" si="7"/>
        <v>46812</v>
      </c>
      <c r="W8" s="48">
        <f>COUNTIFS('Work Volume'!$D$5:$D$52,A8,'Work Volume'!$M$5:$M$52,"Y")</f>
        <v>6</v>
      </c>
    </row>
    <row r="9" spans="1:23" ht="40.049999999999997" customHeight="1" x14ac:dyDescent="0.3">
      <c r="A9" s="41" t="s">
        <v>200</v>
      </c>
      <c r="B9" s="20" t="s">
        <v>349</v>
      </c>
      <c r="C9" s="31" t="s">
        <v>350</v>
      </c>
      <c r="D9" s="44">
        <f>SUMIF('Work Volume'!$D$5:$D$52,A9,'Work Volume'!$N$5:$N$52)</f>
        <v>285.00000000000006</v>
      </c>
      <c r="E9" s="3">
        <f>SUMIF('Work Volume'!$D$5:$D$52,A9,'Work Volume'!$P$5:$P$52)</f>
        <v>17336318.407960199</v>
      </c>
      <c r="F9" s="16">
        <f>ROUND(E9,Inputs!$B$14)</f>
        <v>17336000</v>
      </c>
      <c r="G9" s="16">
        <f>F9*Inputs!$B$8</f>
        <v>2600400</v>
      </c>
      <c r="H9" s="16">
        <f t="shared" si="0"/>
        <v>19936400</v>
      </c>
      <c r="I9" s="42">
        <f t="shared" si="1"/>
        <v>1.9936400000000001</v>
      </c>
      <c r="J9" s="41" t="str">
        <f>IF(IF(Inputs!$B$9="Y",H9,F9)&lt;=Inputs!$B$7,"OK","EXCEEDS")</f>
        <v>OK</v>
      </c>
      <c r="K9" s="28">
        <v>46844</v>
      </c>
      <c r="L9" s="43">
        <v>2</v>
      </c>
      <c r="M9" s="43">
        <v>5</v>
      </c>
      <c r="N9" s="43">
        <v>1</v>
      </c>
      <c r="O9" s="43">
        <v>1</v>
      </c>
      <c r="P9" s="43">
        <v>3</v>
      </c>
      <c r="Q9" s="45">
        <f t="shared" si="2"/>
        <v>9</v>
      </c>
      <c r="R9" s="46">
        <f t="shared" si="3"/>
        <v>46812</v>
      </c>
      <c r="S9" s="46">
        <f t="shared" si="4"/>
        <v>46904</v>
      </c>
      <c r="T9" s="46">
        <f t="shared" si="5"/>
        <v>47087</v>
      </c>
      <c r="U9" s="47">
        <f t="shared" si="6"/>
        <v>47118</v>
      </c>
      <c r="V9" s="46">
        <f t="shared" si="7"/>
        <v>47208</v>
      </c>
      <c r="W9" s="48">
        <f>COUNTIFS('Work Volume'!$D$5:$D$52,A9,'Work Volume'!$M$5:$M$52,"Y")</f>
        <v>16</v>
      </c>
    </row>
    <row r="10" spans="1:23" ht="40.049999999999997" customHeight="1" x14ac:dyDescent="0.3">
      <c r="A10" s="41" t="s">
        <v>252</v>
      </c>
      <c r="B10" s="20" t="s">
        <v>351</v>
      </c>
      <c r="C10" s="31" t="s">
        <v>352</v>
      </c>
      <c r="D10" s="44">
        <f>SUMIF('Work Volume'!$D$5:$D$52,A10,'Work Volume'!$N$5:$N$52)</f>
        <v>267</v>
      </c>
      <c r="E10" s="3">
        <f>SUMIF('Work Volume'!$D$5:$D$52,A10,'Work Volume'!$P$5:$P$52)</f>
        <v>16241393.034825871</v>
      </c>
      <c r="F10" s="16">
        <f>ROUND(E10,Inputs!$B$14)</f>
        <v>16241000</v>
      </c>
      <c r="G10" s="16">
        <f>F10*Inputs!$B$8</f>
        <v>2436150</v>
      </c>
      <c r="H10" s="16">
        <f t="shared" si="0"/>
        <v>18677150</v>
      </c>
      <c r="I10" s="42">
        <f t="shared" si="1"/>
        <v>1.867715</v>
      </c>
      <c r="J10" s="41" t="str">
        <f>IF(IF(Inputs!$B$9="Y",H10,F10)&lt;=Inputs!$B$7,"OK","EXCEEDS")</f>
        <v>OK</v>
      </c>
      <c r="K10" s="28">
        <v>47027</v>
      </c>
      <c r="L10" s="43">
        <v>2</v>
      </c>
      <c r="M10" s="43">
        <v>5</v>
      </c>
      <c r="N10" s="43">
        <v>1</v>
      </c>
      <c r="O10" s="43">
        <v>1</v>
      </c>
      <c r="P10" s="43">
        <v>3</v>
      </c>
      <c r="Q10" s="45">
        <f t="shared" si="2"/>
        <v>9</v>
      </c>
      <c r="R10" s="46">
        <f t="shared" si="3"/>
        <v>46996</v>
      </c>
      <c r="S10" s="46">
        <f t="shared" si="4"/>
        <v>47087</v>
      </c>
      <c r="T10" s="46">
        <f t="shared" si="5"/>
        <v>47269</v>
      </c>
      <c r="U10" s="47">
        <f t="shared" si="6"/>
        <v>47299</v>
      </c>
      <c r="V10" s="46">
        <f t="shared" si="7"/>
        <v>47391</v>
      </c>
      <c r="W10" s="48">
        <f>COUNTIFS('Work Volume'!$D$5:$D$52,A10,'Work Volume'!$M$5:$M$52,"Y")</f>
        <v>3</v>
      </c>
    </row>
    <row r="11" spans="1:23" ht="40.049999999999997" customHeight="1" x14ac:dyDescent="0.3">
      <c r="A11" s="41" t="s">
        <v>267</v>
      </c>
      <c r="B11" s="20" t="s">
        <v>353</v>
      </c>
      <c r="C11" s="31" t="s">
        <v>354</v>
      </c>
      <c r="D11" s="44">
        <f>SUMIF('Work Volume'!$D$5:$D$52,A11,'Work Volume'!$N$5:$N$52)</f>
        <v>285.5</v>
      </c>
      <c r="E11" s="3">
        <f>SUMIF('Work Volume'!$D$5:$D$52,A11,'Work Volume'!$P$5:$P$52)</f>
        <v>17366733.001658373</v>
      </c>
      <c r="F11" s="16">
        <f>ROUND(E11,Inputs!$B$14)</f>
        <v>17367000</v>
      </c>
      <c r="G11" s="16">
        <f>F11*Inputs!$B$8</f>
        <v>2605050</v>
      </c>
      <c r="H11" s="16">
        <f t="shared" si="0"/>
        <v>19972050</v>
      </c>
      <c r="I11" s="42">
        <f t="shared" si="1"/>
        <v>1.9972049999999999</v>
      </c>
      <c r="J11" s="41" t="str">
        <f>IF(IF(Inputs!$B$9="Y",H11,F11)&lt;=Inputs!$B$7,"OK","EXCEEDS")</f>
        <v>OK</v>
      </c>
      <c r="K11" s="28">
        <v>47119</v>
      </c>
      <c r="L11" s="43">
        <v>2</v>
      </c>
      <c r="M11" s="43">
        <v>5</v>
      </c>
      <c r="N11" s="43">
        <v>1</v>
      </c>
      <c r="O11" s="43">
        <v>1</v>
      </c>
      <c r="P11" s="43">
        <v>3</v>
      </c>
      <c r="Q11" s="45">
        <f t="shared" si="2"/>
        <v>9</v>
      </c>
      <c r="R11" s="46">
        <f t="shared" si="3"/>
        <v>47087</v>
      </c>
      <c r="S11" s="46">
        <f t="shared" si="4"/>
        <v>47177</v>
      </c>
      <c r="T11" s="46">
        <f t="shared" si="5"/>
        <v>47361</v>
      </c>
      <c r="U11" s="47">
        <f t="shared" si="6"/>
        <v>47391</v>
      </c>
      <c r="V11" s="46">
        <f t="shared" si="7"/>
        <v>47483</v>
      </c>
      <c r="W11" s="48">
        <f>COUNTIFS('Work Volume'!$D$5:$D$52,A11,'Work Volume'!$M$5:$M$52,"Y")</f>
        <v>6</v>
      </c>
    </row>
    <row r="12" spans="1:23" ht="40.049999999999997" customHeight="1" x14ac:dyDescent="0.3">
      <c r="A12" s="41" t="s">
        <v>298</v>
      </c>
      <c r="B12" s="20" t="s">
        <v>355</v>
      </c>
      <c r="C12" s="31" t="s">
        <v>356</v>
      </c>
      <c r="D12" s="44">
        <f>SUMIF('Work Volume'!$D$5:$D$52,A12,'Work Volume'!$N$5:$N$52)</f>
        <v>222.5</v>
      </c>
      <c r="E12" s="3">
        <f>SUMIF('Work Volume'!$D$5:$D$52,A12,'Work Volume'!$P$5:$P$52)</f>
        <v>13534494.195688225</v>
      </c>
      <c r="F12" s="16">
        <f>Inputs!$B$4-SUM(F5:F11)</f>
        <v>13534000</v>
      </c>
      <c r="G12" s="16">
        <f>F12*Inputs!$B$8</f>
        <v>2030100</v>
      </c>
      <c r="H12" s="16">
        <f t="shared" si="0"/>
        <v>15564100</v>
      </c>
      <c r="I12" s="42">
        <f t="shared" si="1"/>
        <v>1.5564100000000001</v>
      </c>
      <c r="J12" s="41" t="str">
        <f>IF(IF(Inputs!$B$9="Y",H12,F12)&lt;=Inputs!$B$7,"OK","EXCEEDS")</f>
        <v>OK</v>
      </c>
      <c r="K12" s="28">
        <v>47209</v>
      </c>
      <c r="L12" s="43">
        <v>2</v>
      </c>
      <c r="M12" s="43">
        <v>5</v>
      </c>
      <c r="N12" s="43">
        <v>1</v>
      </c>
      <c r="O12" s="43">
        <v>1</v>
      </c>
      <c r="P12" s="43">
        <v>3</v>
      </c>
      <c r="Q12" s="45">
        <f t="shared" si="2"/>
        <v>9</v>
      </c>
      <c r="R12" s="46">
        <f t="shared" si="3"/>
        <v>47177</v>
      </c>
      <c r="S12" s="46">
        <f t="shared" si="4"/>
        <v>47269</v>
      </c>
      <c r="T12" s="46">
        <f t="shared" si="5"/>
        <v>47452</v>
      </c>
      <c r="U12" s="47">
        <f t="shared" si="6"/>
        <v>47483</v>
      </c>
      <c r="V12" s="46">
        <f t="shared" si="7"/>
        <v>47573</v>
      </c>
      <c r="W12" s="48">
        <f>COUNTIFS('Work Volume'!$D$5:$D$52,A12,'Work Volume'!$M$5:$M$52,"Y")</f>
        <v>5</v>
      </c>
    </row>
    <row r="13" spans="1:23" x14ac:dyDescent="0.3">
      <c r="A13" s="11"/>
      <c r="B13" s="12" t="s">
        <v>17</v>
      </c>
      <c r="C13" s="11"/>
      <c r="D13" s="38">
        <f t="shared" ref="D13:I13" si="8">SUM(D5:D12)</f>
        <v>1809</v>
      </c>
      <c r="E13" s="13">
        <f t="shared" si="8"/>
        <v>111664999.99999997</v>
      </c>
      <c r="F13" s="13">
        <f t="shared" si="8"/>
        <v>111665000</v>
      </c>
      <c r="G13" s="13">
        <f t="shared" si="8"/>
        <v>16749750</v>
      </c>
      <c r="H13" s="13">
        <f t="shared" si="8"/>
        <v>128414750</v>
      </c>
      <c r="I13" s="14">
        <f t="shared" si="8"/>
        <v>12.841474999999999</v>
      </c>
      <c r="J13" s="11"/>
      <c r="K13" s="11"/>
      <c r="L13" s="11"/>
      <c r="M13" s="11"/>
      <c r="N13" s="11"/>
      <c r="O13" s="11"/>
      <c r="P13" s="11"/>
      <c r="Q13" s="11"/>
      <c r="R13" s="11"/>
      <c r="S13" s="11"/>
      <c r="T13" s="11"/>
      <c r="U13" s="49">
        <f>MAX(U5:U12)</f>
        <v>47483</v>
      </c>
      <c r="V13" s="11"/>
      <c r="W13" s="50">
        <f>SUM(W5:W12)</f>
        <v>53</v>
      </c>
    </row>
    <row r="14" spans="1:23" ht="26.4" x14ac:dyDescent="0.3">
      <c r="B14" s="2" t="s">
        <v>357</v>
      </c>
      <c r="F14" s="2" t="str">
        <f>IF(ABS(F13-Inputs!B4)&lt;1,"OK","ERROR")</f>
        <v>OK</v>
      </c>
    </row>
    <row r="15" spans="1:23" ht="26.4" x14ac:dyDescent="0.3">
      <c r="B15" s="2" t="s">
        <v>358</v>
      </c>
      <c r="F15" s="2" t="str">
        <f>IF(ABS(D13-'Work Volume'!N53)&lt;0.001,"OK","UNASSIGNED ROWS")</f>
        <v>OK</v>
      </c>
    </row>
    <row r="16" spans="1:23" x14ac:dyDescent="0.3">
      <c r="B16" s="2" t="s">
        <v>359</v>
      </c>
      <c r="F16" s="51">
        <f>MAX(I5:I12)</f>
        <v>1.9972049999999999</v>
      </c>
    </row>
    <row r="17" spans="2:6" ht="26.4" x14ac:dyDescent="0.3">
      <c r="B17" s="2" t="s">
        <v>360</v>
      </c>
      <c r="F17" s="52">
        <f>(YEAR(U12)-YEAR(K6))*12+MONTH(U12)-MONTH(K6)+1</f>
        <v>36</v>
      </c>
    </row>
  </sheetData>
  <mergeCells count="1">
    <mergeCell ref="A2:W2"/>
  </mergeCells>
  <conditionalFormatting sqref="J5:J12">
    <cfRule type="cellIs" dxfId="6" priority="1" operator="equal">
      <formula>"EXCEEDS"</formula>
    </cfRule>
    <cfRule type="cellIs" dxfId="5" priority="2" operator="equal">
      <formula>"OK"</formula>
    </cfRule>
  </conditionalFormatting>
  <pageMargins left="0.75" right="0.75" top="1" bottom="1" header="0.5" footer="0.5"/>
  <pageSetup fitToHeight="0" orientation="landscape"/>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46"/>
  <sheetViews>
    <sheetView showGridLines="0" workbookViewId="0">
      <pane ySplit="4" topLeftCell="A5" activePane="bottomLeft" state="frozen"/>
      <selection pane="bottomLeft"/>
    </sheetView>
  </sheetViews>
  <sheetFormatPr defaultRowHeight="14.4" x14ac:dyDescent="0.3"/>
  <cols>
    <col min="1" max="1" width="12" customWidth="1"/>
    <col min="2" max="2" width="9" customWidth="1"/>
    <col min="3" max="3" width="40" customWidth="1"/>
    <col min="4" max="4" width="11" customWidth="1"/>
    <col min="5" max="5" width="13" customWidth="1"/>
    <col min="6" max="6" width="7" customWidth="1"/>
    <col min="7" max="7" width="17" customWidth="1"/>
    <col min="8" max="8" width="15" customWidth="1"/>
    <col min="9" max="9" width="17" customWidth="1"/>
  </cols>
  <sheetData>
    <row r="1" spans="1:9" ht="17.399999999999999" x14ac:dyDescent="0.3">
      <c r="A1" s="1" t="s">
        <v>361</v>
      </c>
    </row>
    <row r="2" spans="1:9" x14ac:dyDescent="0.3">
      <c r="A2" s="21" t="s">
        <v>362</v>
      </c>
    </row>
    <row r="4" spans="1:9" ht="26.4" x14ac:dyDescent="0.3">
      <c r="A4" s="8" t="s">
        <v>363</v>
      </c>
      <c r="B4" s="8" t="s">
        <v>9</v>
      </c>
      <c r="C4" s="8" t="s">
        <v>364</v>
      </c>
      <c r="D4" s="8" t="s">
        <v>82</v>
      </c>
      <c r="E4" s="8" t="s">
        <v>365</v>
      </c>
      <c r="F4" s="8" t="s">
        <v>19</v>
      </c>
      <c r="G4" s="8" t="s">
        <v>366</v>
      </c>
      <c r="H4" s="8" t="s">
        <v>326</v>
      </c>
      <c r="I4" s="8" t="s">
        <v>367</v>
      </c>
    </row>
    <row r="5" spans="1:9" x14ac:dyDescent="0.3">
      <c r="A5" s="20" t="s">
        <v>368</v>
      </c>
      <c r="B5" s="31" t="s">
        <v>340</v>
      </c>
      <c r="C5" s="20" t="s">
        <v>369</v>
      </c>
      <c r="D5" s="53">
        <v>1</v>
      </c>
      <c r="E5" s="6">
        <f>Packages!U5</f>
        <v>46387</v>
      </c>
      <c r="F5" s="54">
        <f t="shared" ref="F5:F41" si="0">YEAR(E5)</f>
        <v>2026</v>
      </c>
      <c r="G5" s="3">
        <f>D5*Packages!F5</f>
        <v>1625000</v>
      </c>
      <c r="H5" s="3">
        <f>G5*Inputs!$B$8</f>
        <v>243750</v>
      </c>
      <c r="I5" s="16">
        <f t="shared" ref="I5:I41" si="1">G5+H5</f>
        <v>1868750</v>
      </c>
    </row>
    <row r="6" spans="1:9" x14ac:dyDescent="0.3">
      <c r="A6" s="20" t="s">
        <v>368</v>
      </c>
      <c r="B6" s="31" t="s">
        <v>112</v>
      </c>
      <c r="C6" s="10" t="str">
        <f>Inputs!A23</f>
        <v>M1 Design &amp; prototype sign-off</v>
      </c>
      <c r="D6" s="55">
        <f>Inputs!B23</f>
        <v>0.2</v>
      </c>
      <c r="E6" s="6">
        <f>Packages!S6</f>
        <v>46418</v>
      </c>
      <c r="F6" s="54">
        <f t="shared" si="0"/>
        <v>2027</v>
      </c>
      <c r="G6" s="3">
        <f>D6*Packages!$F$6</f>
        <v>2475800</v>
      </c>
      <c r="H6" s="3">
        <f>G6*Inputs!$B$8</f>
        <v>371370</v>
      </c>
      <c r="I6" s="16">
        <f t="shared" si="1"/>
        <v>2847170</v>
      </c>
    </row>
    <row r="7" spans="1:9" x14ac:dyDescent="0.3">
      <c r="A7" s="20" t="s">
        <v>368</v>
      </c>
      <c r="B7" s="31" t="s">
        <v>112</v>
      </c>
      <c r="C7" s="10" t="str">
        <f>Inputs!A24</f>
        <v>M2 UAT acceptance</v>
      </c>
      <c r="D7" s="55">
        <f>Inputs!B24</f>
        <v>0.3</v>
      </c>
      <c r="E7" s="6">
        <f>Packages!T6</f>
        <v>46538</v>
      </c>
      <c r="F7" s="54">
        <f t="shared" si="0"/>
        <v>2027</v>
      </c>
      <c r="G7" s="3">
        <f>D7*Packages!$F$6</f>
        <v>3713700</v>
      </c>
      <c r="H7" s="3">
        <f>G7*Inputs!$B$8</f>
        <v>557055</v>
      </c>
      <c r="I7" s="16">
        <f t="shared" si="1"/>
        <v>4270755</v>
      </c>
    </row>
    <row r="8" spans="1:9" x14ac:dyDescent="0.3">
      <c r="A8" s="20" t="s">
        <v>368</v>
      </c>
      <c r="B8" s="31" t="s">
        <v>112</v>
      </c>
      <c r="C8" s="10" t="str">
        <f>Inputs!A25</f>
        <v>M3 Go-live</v>
      </c>
      <c r="D8" s="55">
        <f>Inputs!B25</f>
        <v>0.4</v>
      </c>
      <c r="E8" s="6">
        <f>Packages!U6</f>
        <v>46568</v>
      </c>
      <c r="F8" s="54">
        <f t="shared" si="0"/>
        <v>2027</v>
      </c>
      <c r="G8" s="3">
        <f>D8*Packages!$F$6</f>
        <v>4951600</v>
      </c>
      <c r="H8" s="3">
        <f>G8*Inputs!$B$8</f>
        <v>742740</v>
      </c>
      <c r="I8" s="16">
        <f t="shared" si="1"/>
        <v>5694340</v>
      </c>
    </row>
    <row r="9" spans="1:9" x14ac:dyDescent="0.3">
      <c r="A9" s="20" t="s">
        <v>368</v>
      </c>
      <c r="B9" s="31" t="s">
        <v>112</v>
      </c>
      <c r="C9" s="10" t="str">
        <f>Inputs!A26</f>
        <v>M4 End of stabilisation</v>
      </c>
      <c r="D9" s="55">
        <f>Inputs!B26</f>
        <v>0.1</v>
      </c>
      <c r="E9" s="6">
        <f>Packages!V6</f>
        <v>46660</v>
      </c>
      <c r="F9" s="54">
        <f t="shared" si="0"/>
        <v>2027</v>
      </c>
      <c r="G9" s="3">
        <f>D9*Packages!$F$6</f>
        <v>1237900</v>
      </c>
      <c r="H9" s="3">
        <f>G9*Inputs!$B$8</f>
        <v>185685</v>
      </c>
      <c r="I9" s="16">
        <f t="shared" si="1"/>
        <v>1423585</v>
      </c>
    </row>
    <row r="10" spans="1:9" x14ac:dyDescent="0.3">
      <c r="A10" s="20" t="s">
        <v>368</v>
      </c>
      <c r="B10" s="31" t="s">
        <v>138</v>
      </c>
      <c r="C10" s="10" t="str">
        <f>Inputs!A23</f>
        <v>M1 Design &amp; prototype sign-off</v>
      </c>
      <c r="D10" s="55">
        <f>Inputs!B23</f>
        <v>0.2</v>
      </c>
      <c r="E10" s="6">
        <f>Packages!S7</f>
        <v>46507</v>
      </c>
      <c r="F10" s="54">
        <f t="shared" si="0"/>
        <v>2027</v>
      </c>
      <c r="G10" s="3">
        <f>D10*Packages!$F$7</f>
        <v>3224000</v>
      </c>
      <c r="H10" s="3">
        <f>G10*Inputs!$B$8</f>
        <v>483600</v>
      </c>
      <c r="I10" s="16">
        <f t="shared" si="1"/>
        <v>3707600</v>
      </c>
    </row>
    <row r="11" spans="1:9" x14ac:dyDescent="0.3">
      <c r="A11" s="20" t="s">
        <v>368</v>
      </c>
      <c r="B11" s="31" t="s">
        <v>138</v>
      </c>
      <c r="C11" s="10" t="str">
        <f>Inputs!A24</f>
        <v>M2 UAT acceptance</v>
      </c>
      <c r="D11" s="55">
        <f>Inputs!B24</f>
        <v>0.3</v>
      </c>
      <c r="E11" s="6">
        <f>Packages!T7</f>
        <v>46691</v>
      </c>
      <c r="F11" s="54">
        <f t="shared" si="0"/>
        <v>2027</v>
      </c>
      <c r="G11" s="3">
        <f>D11*Packages!$F$7</f>
        <v>4836000</v>
      </c>
      <c r="H11" s="3">
        <f>G11*Inputs!$B$8</f>
        <v>725400</v>
      </c>
      <c r="I11" s="16">
        <f t="shared" si="1"/>
        <v>5561400</v>
      </c>
    </row>
    <row r="12" spans="1:9" x14ac:dyDescent="0.3">
      <c r="A12" s="20" t="s">
        <v>368</v>
      </c>
      <c r="B12" s="31" t="s">
        <v>138</v>
      </c>
      <c r="C12" s="10" t="str">
        <f>Inputs!A25</f>
        <v>M3 Go-live</v>
      </c>
      <c r="D12" s="55">
        <f>Inputs!B25</f>
        <v>0.4</v>
      </c>
      <c r="E12" s="6">
        <f>Packages!U7</f>
        <v>46721</v>
      </c>
      <c r="F12" s="54">
        <f t="shared" si="0"/>
        <v>2027</v>
      </c>
      <c r="G12" s="3">
        <f>D12*Packages!$F$7</f>
        <v>6448000</v>
      </c>
      <c r="H12" s="3">
        <f>G12*Inputs!$B$8</f>
        <v>967200</v>
      </c>
      <c r="I12" s="16">
        <f t="shared" si="1"/>
        <v>7415200</v>
      </c>
    </row>
    <row r="13" spans="1:9" x14ac:dyDescent="0.3">
      <c r="A13" s="20" t="s">
        <v>368</v>
      </c>
      <c r="B13" s="31" t="s">
        <v>138</v>
      </c>
      <c r="C13" s="10" t="str">
        <f>Inputs!A26</f>
        <v>M4 End of stabilisation</v>
      </c>
      <c r="D13" s="55">
        <f>Inputs!B26</f>
        <v>0.1</v>
      </c>
      <c r="E13" s="6">
        <f>Packages!V7</f>
        <v>46812</v>
      </c>
      <c r="F13" s="54">
        <f t="shared" si="0"/>
        <v>2028</v>
      </c>
      <c r="G13" s="3">
        <f>D13*Packages!$F$7</f>
        <v>1612000</v>
      </c>
      <c r="H13" s="3">
        <f>G13*Inputs!$B$8</f>
        <v>241800</v>
      </c>
      <c r="I13" s="16">
        <f t="shared" si="1"/>
        <v>1853800</v>
      </c>
    </row>
    <row r="14" spans="1:9" x14ac:dyDescent="0.3">
      <c r="A14" s="20" t="s">
        <v>368</v>
      </c>
      <c r="B14" s="31" t="s">
        <v>172</v>
      </c>
      <c r="C14" s="10" t="str">
        <f>Inputs!A23</f>
        <v>M1 Design &amp; prototype sign-off</v>
      </c>
      <c r="D14" s="55">
        <f>Inputs!B23</f>
        <v>0.2</v>
      </c>
      <c r="E14" s="6">
        <f>Packages!S8</f>
        <v>46477</v>
      </c>
      <c r="F14" s="54">
        <f t="shared" si="0"/>
        <v>2027</v>
      </c>
      <c r="G14" s="3">
        <f>D14*Packages!$F$8</f>
        <v>3412600</v>
      </c>
      <c r="H14" s="3">
        <f>G14*Inputs!$B$8</f>
        <v>511890</v>
      </c>
      <c r="I14" s="16">
        <f t="shared" si="1"/>
        <v>3924490</v>
      </c>
    </row>
    <row r="15" spans="1:9" x14ac:dyDescent="0.3">
      <c r="A15" s="20" t="s">
        <v>368</v>
      </c>
      <c r="B15" s="31" t="s">
        <v>172</v>
      </c>
      <c r="C15" s="10" t="str">
        <f>Inputs!A24</f>
        <v>M2 UAT acceptance</v>
      </c>
      <c r="D15" s="55">
        <f>Inputs!B24</f>
        <v>0.3</v>
      </c>
      <c r="E15" s="6">
        <f>Packages!T8</f>
        <v>46691</v>
      </c>
      <c r="F15" s="54">
        <f t="shared" si="0"/>
        <v>2027</v>
      </c>
      <c r="G15" s="3">
        <f>D15*Packages!$F$8</f>
        <v>5118900</v>
      </c>
      <c r="H15" s="3">
        <f>G15*Inputs!$B$8</f>
        <v>767835</v>
      </c>
      <c r="I15" s="16">
        <f t="shared" si="1"/>
        <v>5886735</v>
      </c>
    </row>
    <row r="16" spans="1:9" x14ac:dyDescent="0.3">
      <c r="A16" s="20" t="s">
        <v>368</v>
      </c>
      <c r="B16" s="31" t="s">
        <v>172</v>
      </c>
      <c r="C16" s="10" t="str">
        <f>Inputs!A25</f>
        <v>M3 Go-live</v>
      </c>
      <c r="D16" s="55">
        <f>Inputs!B25</f>
        <v>0.4</v>
      </c>
      <c r="E16" s="6">
        <f>Packages!U8</f>
        <v>46721</v>
      </c>
      <c r="F16" s="54">
        <f t="shared" si="0"/>
        <v>2027</v>
      </c>
      <c r="G16" s="3">
        <f>D16*Packages!$F$8</f>
        <v>6825200</v>
      </c>
      <c r="H16" s="3">
        <f>G16*Inputs!$B$8</f>
        <v>1023780</v>
      </c>
      <c r="I16" s="16">
        <f t="shared" si="1"/>
        <v>7848980</v>
      </c>
    </row>
    <row r="17" spans="1:9" x14ac:dyDescent="0.3">
      <c r="A17" s="20" t="s">
        <v>368</v>
      </c>
      <c r="B17" s="31" t="s">
        <v>172</v>
      </c>
      <c r="C17" s="10" t="str">
        <f>Inputs!A26</f>
        <v>M4 End of stabilisation</v>
      </c>
      <c r="D17" s="55">
        <f>Inputs!B26</f>
        <v>0.1</v>
      </c>
      <c r="E17" s="6">
        <f>Packages!V8</f>
        <v>46812</v>
      </c>
      <c r="F17" s="54">
        <f t="shared" si="0"/>
        <v>2028</v>
      </c>
      <c r="G17" s="3">
        <f>D17*Packages!$F$8</f>
        <v>1706300</v>
      </c>
      <c r="H17" s="3">
        <f>G17*Inputs!$B$8</f>
        <v>255945</v>
      </c>
      <c r="I17" s="16">
        <f t="shared" si="1"/>
        <v>1962245</v>
      </c>
    </row>
    <row r="18" spans="1:9" x14ac:dyDescent="0.3">
      <c r="A18" s="20" t="s">
        <v>368</v>
      </c>
      <c r="B18" s="31" t="s">
        <v>200</v>
      </c>
      <c r="C18" s="10" t="str">
        <f>Inputs!A23</f>
        <v>M1 Design &amp; prototype sign-off</v>
      </c>
      <c r="D18" s="55">
        <f>Inputs!B23</f>
        <v>0.2</v>
      </c>
      <c r="E18" s="6">
        <f>Packages!S9</f>
        <v>46904</v>
      </c>
      <c r="F18" s="54">
        <f t="shared" si="0"/>
        <v>2028</v>
      </c>
      <c r="G18" s="3">
        <f>D18*Packages!$F$9</f>
        <v>3467200</v>
      </c>
      <c r="H18" s="3">
        <f>G18*Inputs!$B$8</f>
        <v>520080</v>
      </c>
      <c r="I18" s="16">
        <f t="shared" si="1"/>
        <v>3987280</v>
      </c>
    </row>
    <row r="19" spans="1:9" x14ac:dyDescent="0.3">
      <c r="A19" s="20" t="s">
        <v>368</v>
      </c>
      <c r="B19" s="31" t="s">
        <v>200</v>
      </c>
      <c r="C19" s="10" t="str">
        <f>Inputs!A24</f>
        <v>M2 UAT acceptance</v>
      </c>
      <c r="D19" s="55">
        <f>Inputs!B24</f>
        <v>0.3</v>
      </c>
      <c r="E19" s="6">
        <f>Packages!T9</f>
        <v>47087</v>
      </c>
      <c r="F19" s="54">
        <f t="shared" si="0"/>
        <v>2028</v>
      </c>
      <c r="G19" s="3">
        <f>D19*Packages!$F$9</f>
        <v>5200800</v>
      </c>
      <c r="H19" s="3">
        <f>G19*Inputs!$B$8</f>
        <v>780120</v>
      </c>
      <c r="I19" s="16">
        <f t="shared" si="1"/>
        <v>5980920</v>
      </c>
    </row>
    <row r="20" spans="1:9" x14ac:dyDescent="0.3">
      <c r="A20" s="20" t="s">
        <v>368</v>
      </c>
      <c r="B20" s="31" t="s">
        <v>200</v>
      </c>
      <c r="C20" s="10" t="str">
        <f>Inputs!A25</f>
        <v>M3 Go-live</v>
      </c>
      <c r="D20" s="55">
        <f>Inputs!B25</f>
        <v>0.4</v>
      </c>
      <c r="E20" s="6">
        <f>Packages!U9</f>
        <v>47118</v>
      </c>
      <c r="F20" s="54">
        <f t="shared" si="0"/>
        <v>2028</v>
      </c>
      <c r="G20" s="3">
        <f>D20*Packages!$F$9</f>
        <v>6934400</v>
      </c>
      <c r="H20" s="3">
        <f>G20*Inputs!$B$8</f>
        <v>1040160</v>
      </c>
      <c r="I20" s="16">
        <f t="shared" si="1"/>
        <v>7974560</v>
      </c>
    </row>
    <row r="21" spans="1:9" x14ac:dyDescent="0.3">
      <c r="A21" s="20" t="s">
        <v>368</v>
      </c>
      <c r="B21" s="31" t="s">
        <v>200</v>
      </c>
      <c r="C21" s="10" t="str">
        <f>Inputs!A26</f>
        <v>M4 End of stabilisation</v>
      </c>
      <c r="D21" s="55">
        <f>Inputs!B26</f>
        <v>0.1</v>
      </c>
      <c r="E21" s="6">
        <f>Packages!V9</f>
        <v>47208</v>
      </c>
      <c r="F21" s="54">
        <f t="shared" si="0"/>
        <v>2029</v>
      </c>
      <c r="G21" s="3">
        <f>D21*Packages!$F$9</f>
        <v>1733600</v>
      </c>
      <c r="H21" s="3">
        <f>G21*Inputs!$B$8</f>
        <v>260040</v>
      </c>
      <c r="I21" s="16">
        <f t="shared" si="1"/>
        <v>1993640</v>
      </c>
    </row>
    <row r="22" spans="1:9" x14ac:dyDescent="0.3">
      <c r="A22" s="20" t="s">
        <v>368</v>
      </c>
      <c r="B22" s="31" t="s">
        <v>252</v>
      </c>
      <c r="C22" s="10" t="str">
        <f>Inputs!A23</f>
        <v>M1 Design &amp; prototype sign-off</v>
      </c>
      <c r="D22" s="55">
        <f>Inputs!B23</f>
        <v>0.2</v>
      </c>
      <c r="E22" s="6">
        <f>Packages!S10</f>
        <v>47087</v>
      </c>
      <c r="F22" s="54">
        <f t="shared" si="0"/>
        <v>2028</v>
      </c>
      <c r="G22" s="3">
        <f>D22*Packages!$F$10</f>
        <v>3248200</v>
      </c>
      <c r="H22" s="3">
        <f>G22*Inputs!$B$8</f>
        <v>487230</v>
      </c>
      <c r="I22" s="16">
        <f t="shared" si="1"/>
        <v>3735430</v>
      </c>
    </row>
    <row r="23" spans="1:9" x14ac:dyDescent="0.3">
      <c r="A23" s="20" t="s">
        <v>368</v>
      </c>
      <c r="B23" s="31" t="s">
        <v>252</v>
      </c>
      <c r="C23" s="10" t="str">
        <f>Inputs!A24</f>
        <v>M2 UAT acceptance</v>
      </c>
      <c r="D23" s="55">
        <f>Inputs!B24</f>
        <v>0.3</v>
      </c>
      <c r="E23" s="6">
        <f>Packages!T10</f>
        <v>47269</v>
      </c>
      <c r="F23" s="54">
        <f t="shared" si="0"/>
        <v>2029</v>
      </c>
      <c r="G23" s="3">
        <f>D23*Packages!$F$10</f>
        <v>4872300</v>
      </c>
      <c r="H23" s="3">
        <f>G23*Inputs!$B$8</f>
        <v>730845</v>
      </c>
      <c r="I23" s="16">
        <f t="shared" si="1"/>
        <v>5603145</v>
      </c>
    </row>
    <row r="24" spans="1:9" x14ac:dyDescent="0.3">
      <c r="A24" s="20" t="s">
        <v>368</v>
      </c>
      <c r="B24" s="31" t="s">
        <v>252</v>
      </c>
      <c r="C24" s="10" t="str">
        <f>Inputs!A25</f>
        <v>M3 Go-live</v>
      </c>
      <c r="D24" s="55">
        <f>Inputs!B25</f>
        <v>0.4</v>
      </c>
      <c r="E24" s="6">
        <f>Packages!U10</f>
        <v>47299</v>
      </c>
      <c r="F24" s="54">
        <f t="shared" si="0"/>
        <v>2029</v>
      </c>
      <c r="G24" s="3">
        <f>D24*Packages!$F$10</f>
        <v>6496400</v>
      </c>
      <c r="H24" s="3">
        <f>G24*Inputs!$B$8</f>
        <v>974460</v>
      </c>
      <c r="I24" s="16">
        <f t="shared" si="1"/>
        <v>7470860</v>
      </c>
    </row>
    <row r="25" spans="1:9" x14ac:dyDescent="0.3">
      <c r="A25" s="20" t="s">
        <v>368</v>
      </c>
      <c r="B25" s="31" t="s">
        <v>252</v>
      </c>
      <c r="C25" s="10" t="str">
        <f>Inputs!A26</f>
        <v>M4 End of stabilisation</v>
      </c>
      <c r="D25" s="55">
        <f>Inputs!B26</f>
        <v>0.1</v>
      </c>
      <c r="E25" s="6">
        <f>Packages!V10</f>
        <v>47391</v>
      </c>
      <c r="F25" s="54">
        <f t="shared" si="0"/>
        <v>2029</v>
      </c>
      <c r="G25" s="3">
        <f>D25*Packages!$F$10</f>
        <v>1624100</v>
      </c>
      <c r="H25" s="3">
        <f>G25*Inputs!$B$8</f>
        <v>243615</v>
      </c>
      <c r="I25" s="16">
        <f t="shared" si="1"/>
        <v>1867715</v>
      </c>
    </row>
    <row r="26" spans="1:9" x14ac:dyDescent="0.3">
      <c r="A26" s="20" t="s">
        <v>368</v>
      </c>
      <c r="B26" s="31" t="s">
        <v>267</v>
      </c>
      <c r="C26" s="10" t="str">
        <f>Inputs!A23</f>
        <v>M1 Design &amp; prototype sign-off</v>
      </c>
      <c r="D26" s="55">
        <f>Inputs!B23</f>
        <v>0.2</v>
      </c>
      <c r="E26" s="6">
        <f>Packages!S11</f>
        <v>47177</v>
      </c>
      <c r="F26" s="54">
        <f t="shared" si="0"/>
        <v>2029</v>
      </c>
      <c r="G26" s="3">
        <f>D26*Packages!$F$11</f>
        <v>3473400</v>
      </c>
      <c r="H26" s="3">
        <f>G26*Inputs!$B$8</f>
        <v>521010</v>
      </c>
      <c r="I26" s="16">
        <f t="shared" si="1"/>
        <v>3994410</v>
      </c>
    </row>
    <row r="27" spans="1:9" x14ac:dyDescent="0.3">
      <c r="A27" s="20" t="s">
        <v>368</v>
      </c>
      <c r="B27" s="31" t="s">
        <v>267</v>
      </c>
      <c r="C27" s="10" t="str">
        <f>Inputs!A24</f>
        <v>M2 UAT acceptance</v>
      </c>
      <c r="D27" s="55">
        <f>Inputs!B24</f>
        <v>0.3</v>
      </c>
      <c r="E27" s="6">
        <f>Packages!T11</f>
        <v>47361</v>
      </c>
      <c r="F27" s="54">
        <f t="shared" si="0"/>
        <v>2029</v>
      </c>
      <c r="G27" s="3">
        <f>D27*Packages!$F$11</f>
        <v>5210100</v>
      </c>
      <c r="H27" s="3">
        <f>G27*Inputs!$B$8</f>
        <v>781515</v>
      </c>
      <c r="I27" s="16">
        <f t="shared" si="1"/>
        <v>5991615</v>
      </c>
    </row>
    <row r="28" spans="1:9" x14ac:dyDescent="0.3">
      <c r="A28" s="20" t="s">
        <v>368</v>
      </c>
      <c r="B28" s="31" t="s">
        <v>267</v>
      </c>
      <c r="C28" s="10" t="str">
        <f>Inputs!A25</f>
        <v>M3 Go-live</v>
      </c>
      <c r="D28" s="55">
        <f>Inputs!B25</f>
        <v>0.4</v>
      </c>
      <c r="E28" s="6">
        <f>Packages!U11</f>
        <v>47391</v>
      </c>
      <c r="F28" s="54">
        <f t="shared" si="0"/>
        <v>2029</v>
      </c>
      <c r="G28" s="3">
        <f>D28*Packages!$F$11</f>
        <v>6946800</v>
      </c>
      <c r="H28" s="3">
        <f>G28*Inputs!$B$8</f>
        <v>1042020</v>
      </c>
      <c r="I28" s="16">
        <f t="shared" si="1"/>
        <v>7988820</v>
      </c>
    </row>
    <row r="29" spans="1:9" x14ac:dyDescent="0.3">
      <c r="A29" s="20" t="s">
        <v>368</v>
      </c>
      <c r="B29" s="31" t="s">
        <v>267</v>
      </c>
      <c r="C29" s="10" t="str">
        <f>Inputs!A26</f>
        <v>M4 End of stabilisation</v>
      </c>
      <c r="D29" s="55">
        <f>Inputs!B26</f>
        <v>0.1</v>
      </c>
      <c r="E29" s="6">
        <f>Packages!V11</f>
        <v>47483</v>
      </c>
      <c r="F29" s="54">
        <f t="shared" si="0"/>
        <v>2029</v>
      </c>
      <c r="G29" s="3">
        <f>D29*Packages!$F$11</f>
        <v>1736700</v>
      </c>
      <c r="H29" s="3">
        <f>G29*Inputs!$B$8</f>
        <v>260505</v>
      </c>
      <c r="I29" s="16">
        <f t="shared" si="1"/>
        <v>1997205</v>
      </c>
    </row>
    <row r="30" spans="1:9" x14ac:dyDescent="0.3">
      <c r="A30" s="20" t="s">
        <v>368</v>
      </c>
      <c r="B30" s="31" t="s">
        <v>298</v>
      </c>
      <c r="C30" s="10" t="str">
        <f>Inputs!A23</f>
        <v>M1 Design &amp; prototype sign-off</v>
      </c>
      <c r="D30" s="55">
        <f>Inputs!B23</f>
        <v>0.2</v>
      </c>
      <c r="E30" s="6">
        <f>Packages!S12</f>
        <v>47269</v>
      </c>
      <c r="F30" s="54">
        <f t="shared" si="0"/>
        <v>2029</v>
      </c>
      <c r="G30" s="3">
        <f>D30*Packages!$F$12</f>
        <v>2706800</v>
      </c>
      <c r="H30" s="3">
        <f>G30*Inputs!$B$8</f>
        <v>406020</v>
      </c>
      <c r="I30" s="16">
        <f t="shared" si="1"/>
        <v>3112820</v>
      </c>
    </row>
    <row r="31" spans="1:9" x14ac:dyDescent="0.3">
      <c r="A31" s="20" t="s">
        <v>368</v>
      </c>
      <c r="B31" s="31" t="s">
        <v>298</v>
      </c>
      <c r="C31" s="10" t="str">
        <f>Inputs!A24</f>
        <v>M2 UAT acceptance</v>
      </c>
      <c r="D31" s="55">
        <f>Inputs!B24</f>
        <v>0.3</v>
      </c>
      <c r="E31" s="6">
        <f>Packages!T12</f>
        <v>47452</v>
      </c>
      <c r="F31" s="54">
        <f t="shared" si="0"/>
        <v>2029</v>
      </c>
      <c r="G31" s="3">
        <f>D31*Packages!$F$12</f>
        <v>4060200</v>
      </c>
      <c r="H31" s="3">
        <f>G31*Inputs!$B$8</f>
        <v>609030</v>
      </c>
      <c r="I31" s="16">
        <f t="shared" si="1"/>
        <v>4669230</v>
      </c>
    </row>
    <row r="32" spans="1:9" x14ac:dyDescent="0.3">
      <c r="A32" s="20" t="s">
        <v>368</v>
      </c>
      <c r="B32" s="31" t="s">
        <v>298</v>
      </c>
      <c r="C32" s="10" t="str">
        <f>Inputs!A25</f>
        <v>M3 Go-live</v>
      </c>
      <c r="D32" s="55">
        <f>Inputs!B25</f>
        <v>0.4</v>
      </c>
      <c r="E32" s="6">
        <f>Packages!U12</f>
        <v>47483</v>
      </c>
      <c r="F32" s="54">
        <f t="shared" si="0"/>
        <v>2029</v>
      </c>
      <c r="G32" s="3">
        <f>D32*Packages!$F$12</f>
        <v>5413600</v>
      </c>
      <c r="H32" s="3">
        <f>G32*Inputs!$B$8</f>
        <v>812040</v>
      </c>
      <c r="I32" s="16">
        <f t="shared" si="1"/>
        <v>6225640</v>
      </c>
    </row>
    <row r="33" spans="1:9" x14ac:dyDescent="0.3">
      <c r="A33" s="20" t="s">
        <v>368</v>
      </c>
      <c r="B33" s="31" t="s">
        <v>298</v>
      </c>
      <c r="C33" s="10" t="str">
        <f>Inputs!A26</f>
        <v>M4 End of stabilisation</v>
      </c>
      <c r="D33" s="55">
        <f>Inputs!B26</f>
        <v>0.1</v>
      </c>
      <c r="E33" s="6">
        <f>Packages!V12</f>
        <v>47573</v>
      </c>
      <c r="F33" s="54">
        <f t="shared" si="0"/>
        <v>2030</v>
      </c>
      <c r="G33" s="3">
        <f>D33*Packages!$F$12</f>
        <v>1353400</v>
      </c>
      <c r="H33" s="3">
        <f>G33*Inputs!$B$8</f>
        <v>203010</v>
      </c>
      <c r="I33" s="16">
        <f t="shared" si="1"/>
        <v>1556410</v>
      </c>
    </row>
    <row r="34" spans="1:9" x14ac:dyDescent="0.3">
      <c r="A34" s="20" t="s">
        <v>370</v>
      </c>
      <c r="B34" s="31" t="s">
        <v>371</v>
      </c>
      <c r="C34" s="20" t="str">
        <f>"Maintenance tranche 1 (" &amp; Inputs!$B$12 &amp; " months, 33 services)"</f>
        <v>Maintenance tranche 1 (3 months, 33 services)</v>
      </c>
      <c r="D34" s="55">
        <f>Inputs!$B$12/Inputs!$B$11</f>
        <v>0.125</v>
      </c>
      <c r="E34" s="6">
        <f>EOMONTH(Inputs!$B$13,0*Inputs!$B$12+Inputs!$B$12-1)</f>
        <v>47573</v>
      </c>
      <c r="F34" s="54">
        <f t="shared" si="0"/>
        <v>2030</v>
      </c>
      <c r="G34" s="3">
        <f>IF(0*Inputs!$B$12&lt;Inputs!$B$11,D34*Inputs!$B$10,0)</f>
        <v>9405000</v>
      </c>
      <c r="H34" s="3">
        <f>G34*Inputs!$B$8</f>
        <v>1410750</v>
      </c>
      <c r="I34" s="16">
        <f t="shared" si="1"/>
        <v>10815750</v>
      </c>
    </row>
    <row r="35" spans="1:9" x14ac:dyDescent="0.3">
      <c r="A35" s="20" t="s">
        <v>370</v>
      </c>
      <c r="B35" s="31" t="s">
        <v>371</v>
      </c>
      <c r="C35" s="20" t="str">
        <f>"Maintenance tranche 2 (" &amp; Inputs!$B$12 &amp; " months, 33 services)"</f>
        <v>Maintenance tranche 2 (3 months, 33 services)</v>
      </c>
      <c r="D35" s="55">
        <f>Inputs!$B$12/Inputs!$B$11</f>
        <v>0.125</v>
      </c>
      <c r="E35" s="6">
        <f>EOMONTH(Inputs!$B$13,1*Inputs!$B$12+Inputs!$B$12-1)</f>
        <v>47664</v>
      </c>
      <c r="F35" s="54">
        <f t="shared" si="0"/>
        <v>2030</v>
      </c>
      <c r="G35" s="3">
        <f>IF(1*Inputs!$B$12&lt;Inputs!$B$11,D35*Inputs!$B$10,0)</f>
        <v>9405000</v>
      </c>
      <c r="H35" s="3">
        <f>G35*Inputs!$B$8</f>
        <v>1410750</v>
      </c>
      <c r="I35" s="16">
        <f t="shared" si="1"/>
        <v>10815750</v>
      </c>
    </row>
    <row r="36" spans="1:9" x14ac:dyDescent="0.3">
      <c r="A36" s="20" t="s">
        <v>370</v>
      </c>
      <c r="B36" s="31" t="s">
        <v>371</v>
      </c>
      <c r="C36" s="20" t="str">
        <f>"Maintenance tranche 3 (" &amp; Inputs!$B$12 &amp; " months, 33 services)"</f>
        <v>Maintenance tranche 3 (3 months, 33 services)</v>
      </c>
      <c r="D36" s="55">
        <f>Inputs!$B$12/Inputs!$B$11</f>
        <v>0.125</v>
      </c>
      <c r="E36" s="6">
        <f>EOMONTH(Inputs!$B$13,2*Inputs!$B$12+Inputs!$B$12-1)</f>
        <v>47756</v>
      </c>
      <c r="F36" s="54">
        <f t="shared" si="0"/>
        <v>2030</v>
      </c>
      <c r="G36" s="3">
        <f>IF(2*Inputs!$B$12&lt;Inputs!$B$11,D36*Inputs!$B$10,0)</f>
        <v>9405000</v>
      </c>
      <c r="H36" s="3">
        <f>G36*Inputs!$B$8</f>
        <v>1410750</v>
      </c>
      <c r="I36" s="16">
        <f t="shared" si="1"/>
        <v>10815750</v>
      </c>
    </row>
    <row r="37" spans="1:9" x14ac:dyDescent="0.3">
      <c r="A37" s="20" t="s">
        <v>370</v>
      </c>
      <c r="B37" s="31" t="s">
        <v>371</v>
      </c>
      <c r="C37" s="20" t="str">
        <f>"Maintenance tranche 4 (" &amp; Inputs!$B$12 &amp; " months, 33 services)"</f>
        <v>Maintenance tranche 4 (3 months, 33 services)</v>
      </c>
      <c r="D37" s="55">
        <f>Inputs!$B$12/Inputs!$B$11</f>
        <v>0.125</v>
      </c>
      <c r="E37" s="6">
        <f>EOMONTH(Inputs!$B$13,3*Inputs!$B$12+Inputs!$B$12-1)</f>
        <v>47848</v>
      </c>
      <c r="F37" s="54">
        <f t="shared" si="0"/>
        <v>2030</v>
      </c>
      <c r="G37" s="3">
        <f>IF(3*Inputs!$B$12&lt;Inputs!$B$11,D37*Inputs!$B$10,0)</f>
        <v>9405000</v>
      </c>
      <c r="H37" s="3">
        <f>G37*Inputs!$B$8</f>
        <v>1410750</v>
      </c>
      <c r="I37" s="16">
        <f t="shared" si="1"/>
        <v>10815750</v>
      </c>
    </row>
    <row r="38" spans="1:9" x14ac:dyDescent="0.3">
      <c r="A38" s="20" t="s">
        <v>370</v>
      </c>
      <c r="B38" s="31" t="s">
        <v>371</v>
      </c>
      <c r="C38" s="20" t="str">
        <f>"Maintenance tranche 5 (" &amp; Inputs!$B$12 &amp; " months, 33 services)"</f>
        <v>Maintenance tranche 5 (3 months, 33 services)</v>
      </c>
      <c r="D38" s="55">
        <f>Inputs!$B$12/Inputs!$B$11</f>
        <v>0.125</v>
      </c>
      <c r="E38" s="6">
        <f>EOMONTH(Inputs!$B$13,4*Inputs!$B$12+Inputs!$B$12-1)</f>
        <v>47938</v>
      </c>
      <c r="F38" s="54">
        <f t="shared" si="0"/>
        <v>2031</v>
      </c>
      <c r="G38" s="3">
        <f>IF(4*Inputs!$B$12&lt;Inputs!$B$11,D38*Inputs!$B$10,0)</f>
        <v>9405000</v>
      </c>
      <c r="H38" s="3">
        <f>G38*Inputs!$B$8</f>
        <v>1410750</v>
      </c>
      <c r="I38" s="16">
        <f t="shared" si="1"/>
        <v>10815750</v>
      </c>
    </row>
    <row r="39" spans="1:9" x14ac:dyDescent="0.3">
      <c r="A39" s="20" t="s">
        <v>370</v>
      </c>
      <c r="B39" s="31" t="s">
        <v>371</v>
      </c>
      <c r="C39" s="20" t="str">
        <f>"Maintenance tranche 6 (" &amp; Inputs!$B$12 &amp; " months, 33 services)"</f>
        <v>Maintenance tranche 6 (3 months, 33 services)</v>
      </c>
      <c r="D39" s="55">
        <f>Inputs!$B$12/Inputs!$B$11</f>
        <v>0.125</v>
      </c>
      <c r="E39" s="6">
        <f>EOMONTH(Inputs!$B$13,5*Inputs!$B$12+Inputs!$B$12-1)</f>
        <v>48029</v>
      </c>
      <c r="F39" s="54">
        <f t="shared" si="0"/>
        <v>2031</v>
      </c>
      <c r="G39" s="3">
        <f>IF(5*Inputs!$B$12&lt;Inputs!$B$11,D39*Inputs!$B$10,0)</f>
        <v>9405000</v>
      </c>
      <c r="H39" s="3">
        <f>G39*Inputs!$B$8</f>
        <v>1410750</v>
      </c>
      <c r="I39" s="16">
        <f t="shared" si="1"/>
        <v>10815750</v>
      </c>
    </row>
    <row r="40" spans="1:9" x14ac:dyDescent="0.3">
      <c r="A40" s="20" t="s">
        <v>370</v>
      </c>
      <c r="B40" s="31" t="s">
        <v>371</v>
      </c>
      <c r="C40" s="20" t="str">
        <f>"Maintenance tranche 7 (" &amp; Inputs!$B$12 &amp; " months, 33 services)"</f>
        <v>Maintenance tranche 7 (3 months, 33 services)</v>
      </c>
      <c r="D40" s="55">
        <f>Inputs!$B$12/Inputs!$B$11</f>
        <v>0.125</v>
      </c>
      <c r="E40" s="6">
        <f>EOMONTH(Inputs!$B$13,6*Inputs!$B$12+Inputs!$B$12-1)</f>
        <v>48121</v>
      </c>
      <c r="F40" s="54">
        <f t="shared" si="0"/>
        <v>2031</v>
      </c>
      <c r="G40" s="3">
        <f>IF(6*Inputs!$B$12&lt;Inputs!$B$11,D40*Inputs!$B$10,0)</f>
        <v>9405000</v>
      </c>
      <c r="H40" s="3">
        <f>G40*Inputs!$B$8</f>
        <v>1410750</v>
      </c>
      <c r="I40" s="16">
        <f t="shared" si="1"/>
        <v>10815750</v>
      </c>
    </row>
    <row r="41" spans="1:9" x14ac:dyDescent="0.3">
      <c r="A41" s="20" t="s">
        <v>370</v>
      </c>
      <c r="B41" s="31" t="s">
        <v>371</v>
      </c>
      <c r="C41" s="20" t="str">
        <f>"Maintenance tranche 8 (" &amp; Inputs!$B$12 &amp; " months, 33 services)"</f>
        <v>Maintenance tranche 8 (3 months, 33 services)</v>
      </c>
      <c r="D41" s="55">
        <f>Inputs!$B$12/Inputs!$B$11</f>
        <v>0.125</v>
      </c>
      <c r="E41" s="6">
        <f>EOMONTH(Inputs!$B$13,7*Inputs!$B$12+Inputs!$B$12-1)</f>
        <v>48213</v>
      </c>
      <c r="F41" s="54">
        <f t="shared" si="0"/>
        <v>2031</v>
      </c>
      <c r="G41" s="3">
        <f>IF(7*Inputs!$B$12&lt;Inputs!$B$11,D41*Inputs!$B$10,0)</f>
        <v>9405000</v>
      </c>
      <c r="H41" s="3">
        <f>G41*Inputs!$B$8</f>
        <v>1410750</v>
      </c>
      <c r="I41" s="16">
        <f t="shared" si="1"/>
        <v>10815750</v>
      </c>
    </row>
    <row r="42" spans="1:9" x14ac:dyDescent="0.3">
      <c r="C42" s="12" t="s">
        <v>318</v>
      </c>
      <c r="G42" s="13">
        <f>SUM(G5:G41)</f>
        <v>186905000</v>
      </c>
      <c r="H42" s="13">
        <f>SUM(H5:H41)</f>
        <v>28035750</v>
      </c>
      <c r="I42" s="13">
        <f>SUM(I5:I41)</f>
        <v>214940750</v>
      </c>
    </row>
    <row r="43" spans="1:9" x14ac:dyDescent="0.3">
      <c r="C43" s="2" t="s">
        <v>372</v>
      </c>
      <c r="G43" s="40">
        <f>SUMIF(A5:A41,"Rollout",G5:G41)</f>
        <v>111665000</v>
      </c>
    </row>
    <row r="44" spans="1:9" x14ac:dyDescent="0.3">
      <c r="C44" s="2" t="s">
        <v>373</v>
      </c>
      <c r="G44" s="40">
        <f>SUMIF(A5:A41,"Maintenance",G5:G41)</f>
        <v>75240000</v>
      </c>
    </row>
    <row r="45" spans="1:9" ht="26.4" x14ac:dyDescent="0.3">
      <c r="C45" s="2" t="s">
        <v>374</v>
      </c>
      <c r="G45" s="2" t="str">
        <f>IF(AND(ABS(G43-Inputs!B4)&lt;1,ABS(G44-Inputs!B10)&lt;1),"OK","ERROR")</f>
        <v>OK</v>
      </c>
    </row>
    <row r="46" spans="1:9" ht="26.4" x14ac:dyDescent="0.3">
      <c r="C46" s="2" t="s">
        <v>375</v>
      </c>
      <c r="G46" s="2" t="str">
        <f>IF(IF(Inputs!$B$9="Y",MAX(I34:I41),MAX(G34:G41))&lt;=Inputs!B7,"OK","EXCEEDS")</f>
        <v>OK</v>
      </c>
    </row>
  </sheetData>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F23"/>
  <sheetViews>
    <sheetView showGridLines="0" workbookViewId="0"/>
  </sheetViews>
  <sheetFormatPr defaultRowHeight="14.4" x14ac:dyDescent="0.3"/>
  <cols>
    <col min="1" max="1" width="16" customWidth="1"/>
    <col min="2" max="2" width="8" customWidth="1"/>
    <col min="3" max="3" width="12" customWidth="1"/>
    <col min="4" max="4" width="16" customWidth="1"/>
    <col min="5" max="5" width="9" customWidth="1"/>
    <col min="6" max="6" width="16" customWidth="1"/>
  </cols>
  <sheetData>
    <row r="1" spans="1:6" ht="17.399999999999999" x14ac:dyDescent="0.3">
      <c r="A1" s="1" t="s">
        <v>376</v>
      </c>
    </row>
    <row r="2" spans="1:6" x14ac:dyDescent="0.3">
      <c r="A2" s="21" t="s">
        <v>377</v>
      </c>
    </row>
    <row r="4" spans="1:6" ht="26.4" x14ac:dyDescent="0.3">
      <c r="A4" s="8" t="s">
        <v>378</v>
      </c>
      <c r="B4" s="8" t="s">
        <v>19</v>
      </c>
      <c r="C4" s="8" t="s">
        <v>342</v>
      </c>
      <c r="D4" s="8" t="s">
        <v>379</v>
      </c>
      <c r="E4" s="8" t="s">
        <v>380</v>
      </c>
      <c r="F4" s="8" t="s">
        <v>381</v>
      </c>
    </row>
    <row r="5" spans="1:6" x14ac:dyDescent="0.3">
      <c r="A5" s="20" t="s">
        <v>382</v>
      </c>
      <c r="B5" s="43">
        <v>2026</v>
      </c>
      <c r="C5" s="43">
        <v>5</v>
      </c>
      <c r="D5" s="22">
        <v>65000</v>
      </c>
      <c r="E5" s="43">
        <v>5</v>
      </c>
      <c r="F5" s="16">
        <f t="shared" ref="F5:F19" si="0">C5*D5*E5</f>
        <v>1625000</v>
      </c>
    </row>
    <row r="6" spans="1:6" x14ac:dyDescent="0.3">
      <c r="A6" s="20" t="s">
        <v>383</v>
      </c>
      <c r="B6" s="43">
        <v>2027</v>
      </c>
      <c r="C6" s="43">
        <v>5</v>
      </c>
      <c r="D6" s="22">
        <v>180000</v>
      </c>
      <c r="E6" s="43">
        <v>3</v>
      </c>
      <c r="F6" s="16">
        <f t="shared" si="0"/>
        <v>2700000</v>
      </c>
    </row>
    <row r="7" spans="1:6" x14ac:dyDescent="0.3">
      <c r="A7" s="20" t="s">
        <v>384</v>
      </c>
      <c r="B7" s="43">
        <v>2027</v>
      </c>
      <c r="C7" s="43">
        <v>8</v>
      </c>
      <c r="D7" s="22">
        <v>180000</v>
      </c>
      <c r="E7" s="43">
        <v>3</v>
      </c>
      <c r="F7" s="16">
        <f t="shared" si="0"/>
        <v>4320000</v>
      </c>
    </row>
    <row r="8" spans="1:6" x14ac:dyDescent="0.3">
      <c r="A8" s="20" t="s">
        <v>385</v>
      </c>
      <c r="B8" s="43">
        <v>2027</v>
      </c>
      <c r="C8" s="43">
        <v>11</v>
      </c>
      <c r="D8" s="22">
        <v>180000</v>
      </c>
      <c r="E8" s="43">
        <v>3</v>
      </c>
      <c r="F8" s="16">
        <f t="shared" si="0"/>
        <v>5940000</v>
      </c>
    </row>
    <row r="9" spans="1:6" x14ac:dyDescent="0.3">
      <c r="A9" s="20" t="s">
        <v>386</v>
      </c>
      <c r="B9" s="43">
        <v>2027</v>
      </c>
      <c r="C9" s="43">
        <v>14</v>
      </c>
      <c r="D9" s="22">
        <v>180000</v>
      </c>
      <c r="E9" s="43">
        <v>3</v>
      </c>
      <c r="F9" s="16">
        <f t="shared" si="0"/>
        <v>7560000</v>
      </c>
    </row>
    <row r="10" spans="1:6" x14ac:dyDescent="0.3">
      <c r="A10" s="20" t="s">
        <v>387</v>
      </c>
      <c r="B10" s="43">
        <v>2028</v>
      </c>
      <c r="C10" s="43">
        <v>17</v>
      </c>
      <c r="D10" s="22">
        <v>155000</v>
      </c>
      <c r="E10" s="43">
        <v>3</v>
      </c>
      <c r="F10" s="16">
        <f t="shared" si="0"/>
        <v>7905000</v>
      </c>
    </row>
    <row r="11" spans="1:6" x14ac:dyDescent="0.3">
      <c r="A11" s="20" t="s">
        <v>388</v>
      </c>
      <c r="B11" s="43">
        <v>2028</v>
      </c>
      <c r="C11" s="43">
        <v>20</v>
      </c>
      <c r="D11" s="22">
        <v>155000</v>
      </c>
      <c r="E11" s="43">
        <v>3</v>
      </c>
      <c r="F11" s="16">
        <f t="shared" si="0"/>
        <v>9300000</v>
      </c>
    </row>
    <row r="12" spans="1:6" x14ac:dyDescent="0.3">
      <c r="A12" s="20" t="s">
        <v>389</v>
      </c>
      <c r="B12" s="43">
        <v>2028</v>
      </c>
      <c r="C12" s="43">
        <v>23</v>
      </c>
      <c r="D12" s="22">
        <v>155000</v>
      </c>
      <c r="E12" s="43">
        <v>3</v>
      </c>
      <c r="F12" s="16">
        <f t="shared" si="0"/>
        <v>10695000</v>
      </c>
    </row>
    <row r="13" spans="1:6" x14ac:dyDescent="0.3">
      <c r="A13" s="20" t="s">
        <v>390</v>
      </c>
      <c r="B13" s="43">
        <v>2028</v>
      </c>
      <c r="C13" s="43">
        <v>26</v>
      </c>
      <c r="D13" s="22">
        <v>155000</v>
      </c>
      <c r="E13" s="43">
        <v>3</v>
      </c>
      <c r="F13" s="16">
        <f t="shared" si="0"/>
        <v>12090000</v>
      </c>
    </row>
    <row r="14" spans="1:6" x14ac:dyDescent="0.3">
      <c r="A14" s="20" t="s">
        <v>391</v>
      </c>
      <c r="B14" s="43">
        <v>2029</v>
      </c>
      <c r="C14" s="43">
        <v>29</v>
      </c>
      <c r="D14" s="22">
        <v>130000</v>
      </c>
      <c r="E14" s="43">
        <v>3</v>
      </c>
      <c r="F14" s="16">
        <f t="shared" si="0"/>
        <v>11310000</v>
      </c>
    </row>
    <row r="15" spans="1:6" x14ac:dyDescent="0.3">
      <c r="A15" s="20" t="s">
        <v>392</v>
      </c>
      <c r="B15" s="43">
        <v>2029</v>
      </c>
      <c r="C15" s="43">
        <v>32</v>
      </c>
      <c r="D15" s="22">
        <v>130000</v>
      </c>
      <c r="E15" s="43">
        <v>3</v>
      </c>
      <c r="F15" s="16">
        <f t="shared" si="0"/>
        <v>12480000</v>
      </c>
    </row>
    <row r="16" spans="1:6" x14ac:dyDescent="0.3">
      <c r="A16" s="20" t="s">
        <v>393</v>
      </c>
      <c r="B16" s="43">
        <v>2029</v>
      </c>
      <c r="C16" s="43">
        <v>33</v>
      </c>
      <c r="D16" s="22">
        <v>130000</v>
      </c>
      <c r="E16" s="43">
        <v>3</v>
      </c>
      <c r="F16" s="16">
        <f t="shared" si="0"/>
        <v>12870000</v>
      </c>
    </row>
    <row r="17" spans="1:6" x14ac:dyDescent="0.3">
      <c r="A17" s="20" t="s">
        <v>394</v>
      </c>
      <c r="B17" s="43">
        <v>2029</v>
      </c>
      <c r="C17" s="43">
        <v>33</v>
      </c>
      <c r="D17" s="22">
        <v>130000</v>
      </c>
      <c r="E17" s="43">
        <v>3</v>
      </c>
      <c r="F17" s="16">
        <f t="shared" si="0"/>
        <v>12870000</v>
      </c>
    </row>
    <row r="18" spans="1:6" ht="26.4" x14ac:dyDescent="0.3">
      <c r="A18" s="20" t="s">
        <v>395</v>
      </c>
      <c r="B18" s="43">
        <v>2030</v>
      </c>
      <c r="C18" s="43">
        <v>33</v>
      </c>
      <c r="D18" s="22">
        <v>95000</v>
      </c>
      <c r="E18" s="43">
        <v>12</v>
      </c>
      <c r="F18" s="16">
        <f t="shared" si="0"/>
        <v>37620000</v>
      </c>
    </row>
    <row r="19" spans="1:6" ht="26.4" x14ac:dyDescent="0.3">
      <c r="A19" s="20" t="s">
        <v>396</v>
      </c>
      <c r="B19" s="43">
        <v>2031</v>
      </c>
      <c r="C19" s="43">
        <v>33</v>
      </c>
      <c r="D19" s="22">
        <v>95000</v>
      </c>
      <c r="E19" s="43">
        <v>12</v>
      </c>
      <c r="F19" s="16">
        <f t="shared" si="0"/>
        <v>37620000</v>
      </c>
    </row>
    <row r="20" spans="1:6" x14ac:dyDescent="0.3">
      <c r="A20" s="12" t="s">
        <v>397</v>
      </c>
      <c r="F20" s="13">
        <f>SUM(F5:F17)</f>
        <v>111665000</v>
      </c>
    </row>
    <row r="21" spans="1:6" ht="26.4" x14ac:dyDescent="0.3">
      <c r="A21" s="12" t="s">
        <v>398</v>
      </c>
      <c r="F21" s="13">
        <f>SUM(F18:F19)</f>
        <v>75240000</v>
      </c>
    </row>
    <row r="22" spans="1:6" x14ac:dyDescent="0.3">
      <c r="A22" s="12" t="s">
        <v>399</v>
      </c>
      <c r="F22" s="13">
        <f>F20+F21</f>
        <v>186905000</v>
      </c>
    </row>
    <row r="23" spans="1:6" ht="52.8" x14ac:dyDescent="0.3">
      <c r="A23" s="2" t="s">
        <v>400</v>
      </c>
      <c r="F23" s="2" t="str">
        <f>IF(AND(F20=Inputs!B4,F21=Inputs!B10),"OK","ERROR")</f>
        <v>OK</v>
      </c>
    </row>
  </sheetData>
  <pageMargins left="0.75" right="0.75" top="1" bottom="1" header="0.5" footer="0.5"/>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O12"/>
  <sheetViews>
    <sheetView showGridLines="0" workbookViewId="0">
      <pane xSplit="2" ySplit="4" topLeftCell="C5" activePane="bottomRight" state="frozen"/>
      <selection pane="topRight"/>
      <selection pane="bottomLeft"/>
      <selection pane="bottomRight"/>
    </sheetView>
  </sheetViews>
  <sheetFormatPr defaultRowHeight="14.4" x14ac:dyDescent="0.3"/>
  <cols>
    <col min="1" max="1" width="8" customWidth="1"/>
    <col min="2" max="2" width="44" customWidth="1"/>
    <col min="3" max="41" width="4.21875" customWidth="1"/>
  </cols>
  <sheetData>
    <row r="1" spans="1:41" ht="17.399999999999999" x14ac:dyDescent="0.3">
      <c r="A1" s="1" t="s">
        <v>401</v>
      </c>
    </row>
    <row r="2" spans="1:41" x14ac:dyDescent="0.3">
      <c r="A2" s="21" t="s">
        <v>402</v>
      </c>
    </row>
    <row r="4" spans="1:41" ht="43.95" customHeight="1" x14ac:dyDescent="0.3">
      <c r="A4" s="8" t="s">
        <v>9</v>
      </c>
      <c r="B4" s="8" t="s">
        <v>10</v>
      </c>
      <c r="C4" s="56">
        <v>46388</v>
      </c>
      <c r="D4" s="56">
        <v>46419</v>
      </c>
      <c r="E4" s="56">
        <v>46447</v>
      </c>
      <c r="F4" s="56">
        <v>46478</v>
      </c>
      <c r="G4" s="56">
        <v>46508</v>
      </c>
      <c r="H4" s="56">
        <v>46539</v>
      </c>
      <c r="I4" s="56">
        <v>46569</v>
      </c>
      <c r="J4" s="56">
        <v>46600</v>
      </c>
      <c r="K4" s="56">
        <v>46631</v>
      </c>
      <c r="L4" s="56">
        <v>46661</v>
      </c>
      <c r="M4" s="56">
        <v>46692</v>
      </c>
      <c r="N4" s="56">
        <v>46722</v>
      </c>
      <c r="O4" s="56">
        <v>46753</v>
      </c>
      <c r="P4" s="56">
        <v>46784</v>
      </c>
      <c r="Q4" s="56">
        <v>46813</v>
      </c>
      <c r="R4" s="56">
        <v>46844</v>
      </c>
      <c r="S4" s="56">
        <v>46874</v>
      </c>
      <c r="T4" s="56">
        <v>46905</v>
      </c>
      <c r="U4" s="56">
        <v>46935</v>
      </c>
      <c r="V4" s="56">
        <v>46966</v>
      </c>
      <c r="W4" s="56">
        <v>46997</v>
      </c>
      <c r="X4" s="56">
        <v>47027</v>
      </c>
      <c r="Y4" s="56">
        <v>47058</v>
      </c>
      <c r="Z4" s="56">
        <v>47088</v>
      </c>
      <c r="AA4" s="56">
        <v>47119</v>
      </c>
      <c r="AB4" s="56">
        <v>47150</v>
      </c>
      <c r="AC4" s="56">
        <v>47178</v>
      </c>
      <c r="AD4" s="56">
        <v>47209</v>
      </c>
      <c r="AE4" s="56">
        <v>47239</v>
      </c>
      <c r="AF4" s="56">
        <v>47270</v>
      </c>
      <c r="AG4" s="56">
        <v>47300</v>
      </c>
      <c r="AH4" s="56">
        <v>47331</v>
      </c>
      <c r="AI4" s="56">
        <v>47362</v>
      </c>
      <c r="AJ4" s="56">
        <v>47392</v>
      </c>
      <c r="AK4" s="56">
        <v>47423</v>
      </c>
      <c r="AL4" s="56">
        <v>47453</v>
      </c>
      <c r="AM4" s="56">
        <v>47484</v>
      </c>
      <c r="AN4" s="56">
        <v>47515</v>
      </c>
      <c r="AO4" s="56">
        <v>47543</v>
      </c>
    </row>
    <row r="5" spans="1:41" ht="30" customHeight="1" x14ac:dyDescent="0.3">
      <c r="A5" s="9" t="str">
        <f>Packages!A6</f>
        <v>WP1</v>
      </c>
      <c r="B5" s="10" t="str">
        <f>Packages!B6</f>
        <v>BSTI 2.0 transformation: common platform, HRM &amp; Leave, Payroll, Standards (BDS) sale; Accounts</v>
      </c>
      <c r="C5" s="57" t="str">
        <f>IF(C$4&lt;Packages!$K$6,"",IF(C$4&lt;=EOMONTH(Packages!$K$6,Packages!$L$6-1),"D",IF(C$4&lt;=EOMONTH(Packages!$K$6,Packages!$L$6+Packages!$M$6-1),"B",IF(C$4&lt;=EOMONTH(Packages!$K$6,Packages!$L$6+Packages!$M$6+Packages!$N$6-1),"U",IF(C$4&lt;=EOMONTH(Packages!$K$6,Packages!$L$6+Packages!$M$6+Packages!$N$6+Packages!$O$6-1),"G",IF(C$4&lt;=EOMONTH(Packages!$K$6,Packages!$L$6+Packages!$M$6+Packages!$N$6+Packages!$O$6+Packages!$P$6-1),"S",""))))))</f>
        <v>D</v>
      </c>
      <c r="D5" s="57" t="str">
        <f>IF(D$4&lt;Packages!$K$6,"",IF(D$4&lt;=EOMONTH(Packages!$K$6,Packages!$L$6-1),"D",IF(D$4&lt;=EOMONTH(Packages!$K$6,Packages!$L$6+Packages!$M$6-1),"B",IF(D$4&lt;=EOMONTH(Packages!$K$6,Packages!$L$6+Packages!$M$6+Packages!$N$6-1),"U",IF(D$4&lt;=EOMONTH(Packages!$K$6,Packages!$L$6+Packages!$M$6+Packages!$N$6+Packages!$O$6-1),"G",IF(D$4&lt;=EOMONTH(Packages!$K$6,Packages!$L$6+Packages!$M$6+Packages!$N$6+Packages!$O$6+Packages!$P$6-1),"S",""))))))</f>
        <v>B</v>
      </c>
      <c r="E5" s="57" t="str">
        <f>IF(E$4&lt;Packages!$K$6,"",IF(E$4&lt;=EOMONTH(Packages!$K$6,Packages!$L$6-1),"D",IF(E$4&lt;=EOMONTH(Packages!$K$6,Packages!$L$6+Packages!$M$6-1),"B",IF(E$4&lt;=EOMONTH(Packages!$K$6,Packages!$L$6+Packages!$M$6+Packages!$N$6-1),"U",IF(E$4&lt;=EOMONTH(Packages!$K$6,Packages!$L$6+Packages!$M$6+Packages!$N$6+Packages!$O$6-1),"G",IF(E$4&lt;=EOMONTH(Packages!$K$6,Packages!$L$6+Packages!$M$6+Packages!$N$6+Packages!$O$6+Packages!$P$6-1),"S",""))))))</f>
        <v>B</v>
      </c>
      <c r="F5" s="57" t="str">
        <f>IF(F$4&lt;Packages!$K$6,"",IF(F$4&lt;=EOMONTH(Packages!$K$6,Packages!$L$6-1),"D",IF(F$4&lt;=EOMONTH(Packages!$K$6,Packages!$L$6+Packages!$M$6-1),"B",IF(F$4&lt;=EOMONTH(Packages!$K$6,Packages!$L$6+Packages!$M$6+Packages!$N$6-1),"U",IF(F$4&lt;=EOMONTH(Packages!$K$6,Packages!$L$6+Packages!$M$6+Packages!$N$6+Packages!$O$6-1),"G",IF(F$4&lt;=EOMONTH(Packages!$K$6,Packages!$L$6+Packages!$M$6+Packages!$N$6+Packages!$O$6+Packages!$P$6-1),"S",""))))))</f>
        <v>B</v>
      </c>
      <c r="G5" s="57" t="str">
        <f>IF(G$4&lt;Packages!$K$6,"",IF(G$4&lt;=EOMONTH(Packages!$K$6,Packages!$L$6-1),"D",IF(G$4&lt;=EOMONTH(Packages!$K$6,Packages!$L$6+Packages!$M$6-1),"B",IF(G$4&lt;=EOMONTH(Packages!$K$6,Packages!$L$6+Packages!$M$6+Packages!$N$6-1),"U",IF(G$4&lt;=EOMONTH(Packages!$K$6,Packages!$L$6+Packages!$M$6+Packages!$N$6+Packages!$O$6-1),"G",IF(G$4&lt;=EOMONTH(Packages!$K$6,Packages!$L$6+Packages!$M$6+Packages!$N$6+Packages!$O$6+Packages!$P$6-1),"S",""))))))</f>
        <v>U</v>
      </c>
      <c r="H5" s="57" t="str">
        <f>IF(H$4&lt;Packages!$K$6,"",IF(H$4&lt;=EOMONTH(Packages!$K$6,Packages!$L$6-1),"D",IF(H$4&lt;=EOMONTH(Packages!$K$6,Packages!$L$6+Packages!$M$6-1),"B",IF(H$4&lt;=EOMONTH(Packages!$K$6,Packages!$L$6+Packages!$M$6+Packages!$N$6-1),"U",IF(H$4&lt;=EOMONTH(Packages!$K$6,Packages!$L$6+Packages!$M$6+Packages!$N$6+Packages!$O$6-1),"G",IF(H$4&lt;=EOMONTH(Packages!$K$6,Packages!$L$6+Packages!$M$6+Packages!$N$6+Packages!$O$6+Packages!$P$6-1),"S",""))))))</f>
        <v>G</v>
      </c>
      <c r="I5" s="57" t="str">
        <f>IF(I$4&lt;Packages!$K$6,"",IF(I$4&lt;=EOMONTH(Packages!$K$6,Packages!$L$6-1),"D",IF(I$4&lt;=EOMONTH(Packages!$K$6,Packages!$L$6+Packages!$M$6-1),"B",IF(I$4&lt;=EOMONTH(Packages!$K$6,Packages!$L$6+Packages!$M$6+Packages!$N$6-1),"U",IF(I$4&lt;=EOMONTH(Packages!$K$6,Packages!$L$6+Packages!$M$6+Packages!$N$6+Packages!$O$6-1),"G",IF(I$4&lt;=EOMONTH(Packages!$K$6,Packages!$L$6+Packages!$M$6+Packages!$N$6+Packages!$O$6+Packages!$P$6-1),"S",""))))))</f>
        <v>S</v>
      </c>
      <c r="J5" s="57" t="str">
        <f>IF(J$4&lt;Packages!$K$6,"",IF(J$4&lt;=EOMONTH(Packages!$K$6,Packages!$L$6-1),"D",IF(J$4&lt;=EOMONTH(Packages!$K$6,Packages!$L$6+Packages!$M$6-1),"B",IF(J$4&lt;=EOMONTH(Packages!$K$6,Packages!$L$6+Packages!$M$6+Packages!$N$6-1),"U",IF(J$4&lt;=EOMONTH(Packages!$K$6,Packages!$L$6+Packages!$M$6+Packages!$N$6+Packages!$O$6-1),"G",IF(J$4&lt;=EOMONTH(Packages!$K$6,Packages!$L$6+Packages!$M$6+Packages!$N$6+Packages!$O$6+Packages!$P$6-1),"S",""))))))</f>
        <v>S</v>
      </c>
      <c r="K5" s="57" t="str">
        <f>IF(K$4&lt;Packages!$K$6,"",IF(K$4&lt;=EOMONTH(Packages!$K$6,Packages!$L$6-1),"D",IF(K$4&lt;=EOMONTH(Packages!$K$6,Packages!$L$6+Packages!$M$6-1),"B",IF(K$4&lt;=EOMONTH(Packages!$K$6,Packages!$L$6+Packages!$M$6+Packages!$N$6-1),"U",IF(K$4&lt;=EOMONTH(Packages!$K$6,Packages!$L$6+Packages!$M$6+Packages!$N$6+Packages!$O$6-1),"G",IF(K$4&lt;=EOMONTH(Packages!$K$6,Packages!$L$6+Packages!$M$6+Packages!$N$6+Packages!$O$6+Packages!$P$6-1),"S",""))))))</f>
        <v>S</v>
      </c>
      <c r="L5" s="57" t="str">
        <f>IF(L$4&lt;Packages!$K$6,"",IF(L$4&lt;=EOMONTH(Packages!$K$6,Packages!$L$6-1),"D",IF(L$4&lt;=EOMONTH(Packages!$K$6,Packages!$L$6+Packages!$M$6-1),"B",IF(L$4&lt;=EOMONTH(Packages!$K$6,Packages!$L$6+Packages!$M$6+Packages!$N$6-1),"U",IF(L$4&lt;=EOMONTH(Packages!$K$6,Packages!$L$6+Packages!$M$6+Packages!$N$6+Packages!$O$6-1),"G",IF(L$4&lt;=EOMONTH(Packages!$K$6,Packages!$L$6+Packages!$M$6+Packages!$N$6+Packages!$O$6+Packages!$P$6-1),"S",""))))))</f>
        <v/>
      </c>
      <c r="M5" s="57" t="str">
        <f>IF(M$4&lt;Packages!$K$6,"",IF(M$4&lt;=EOMONTH(Packages!$K$6,Packages!$L$6-1),"D",IF(M$4&lt;=EOMONTH(Packages!$K$6,Packages!$L$6+Packages!$M$6-1),"B",IF(M$4&lt;=EOMONTH(Packages!$K$6,Packages!$L$6+Packages!$M$6+Packages!$N$6-1),"U",IF(M$4&lt;=EOMONTH(Packages!$K$6,Packages!$L$6+Packages!$M$6+Packages!$N$6+Packages!$O$6-1),"G",IF(M$4&lt;=EOMONTH(Packages!$K$6,Packages!$L$6+Packages!$M$6+Packages!$N$6+Packages!$O$6+Packages!$P$6-1),"S",""))))))</f>
        <v/>
      </c>
      <c r="N5" s="57" t="str">
        <f>IF(N$4&lt;Packages!$K$6,"",IF(N$4&lt;=EOMONTH(Packages!$K$6,Packages!$L$6-1),"D",IF(N$4&lt;=EOMONTH(Packages!$K$6,Packages!$L$6+Packages!$M$6-1),"B",IF(N$4&lt;=EOMONTH(Packages!$K$6,Packages!$L$6+Packages!$M$6+Packages!$N$6-1),"U",IF(N$4&lt;=EOMONTH(Packages!$K$6,Packages!$L$6+Packages!$M$6+Packages!$N$6+Packages!$O$6-1),"G",IF(N$4&lt;=EOMONTH(Packages!$K$6,Packages!$L$6+Packages!$M$6+Packages!$N$6+Packages!$O$6+Packages!$P$6-1),"S",""))))))</f>
        <v/>
      </c>
      <c r="O5" s="57" t="str">
        <f>IF(O$4&lt;Packages!$K$6,"",IF(O$4&lt;=EOMONTH(Packages!$K$6,Packages!$L$6-1),"D",IF(O$4&lt;=EOMONTH(Packages!$K$6,Packages!$L$6+Packages!$M$6-1),"B",IF(O$4&lt;=EOMONTH(Packages!$K$6,Packages!$L$6+Packages!$M$6+Packages!$N$6-1),"U",IF(O$4&lt;=EOMONTH(Packages!$K$6,Packages!$L$6+Packages!$M$6+Packages!$N$6+Packages!$O$6-1),"G",IF(O$4&lt;=EOMONTH(Packages!$K$6,Packages!$L$6+Packages!$M$6+Packages!$N$6+Packages!$O$6+Packages!$P$6-1),"S",""))))))</f>
        <v/>
      </c>
      <c r="P5" s="57" t="str">
        <f>IF(P$4&lt;Packages!$K$6,"",IF(P$4&lt;=EOMONTH(Packages!$K$6,Packages!$L$6-1),"D",IF(P$4&lt;=EOMONTH(Packages!$K$6,Packages!$L$6+Packages!$M$6-1),"B",IF(P$4&lt;=EOMONTH(Packages!$K$6,Packages!$L$6+Packages!$M$6+Packages!$N$6-1),"U",IF(P$4&lt;=EOMONTH(Packages!$K$6,Packages!$L$6+Packages!$M$6+Packages!$N$6+Packages!$O$6-1),"G",IF(P$4&lt;=EOMONTH(Packages!$K$6,Packages!$L$6+Packages!$M$6+Packages!$N$6+Packages!$O$6+Packages!$P$6-1),"S",""))))))</f>
        <v/>
      </c>
      <c r="Q5" s="57" t="str">
        <f>IF(Q$4&lt;Packages!$K$6,"",IF(Q$4&lt;=EOMONTH(Packages!$K$6,Packages!$L$6-1),"D",IF(Q$4&lt;=EOMONTH(Packages!$K$6,Packages!$L$6+Packages!$M$6-1),"B",IF(Q$4&lt;=EOMONTH(Packages!$K$6,Packages!$L$6+Packages!$M$6+Packages!$N$6-1),"U",IF(Q$4&lt;=EOMONTH(Packages!$K$6,Packages!$L$6+Packages!$M$6+Packages!$N$6+Packages!$O$6-1),"G",IF(Q$4&lt;=EOMONTH(Packages!$K$6,Packages!$L$6+Packages!$M$6+Packages!$N$6+Packages!$O$6+Packages!$P$6-1),"S",""))))))</f>
        <v/>
      </c>
      <c r="R5" s="57" t="str">
        <f>IF(R$4&lt;Packages!$K$6,"",IF(R$4&lt;=EOMONTH(Packages!$K$6,Packages!$L$6-1),"D",IF(R$4&lt;=EOMONTH(Packages!$K$6,Packages!$L$6+Packages!$M$6-1),"B",IF(R$4&lt;=EOMONTH(Packages!$K$6,Packages!$L$6+Packages!$M$6+Packages!$N$6-1),"U",IF(R$4&lt;=EOMONTH(Packages!$K$6,Packages!$L$6+Packages!$M$6+Packages!$N$6+Packages!$O$6-1),"G",IF(R$4&lt;=EOMONTH(Packages!$K$6,Packages!$L$6+Packages!$M$6+Packages!$N$6+Packages!$O$6+Packages!$P$6-1),"S",""))))))</f>
        <v/>
      </c>
      <c r="S5" s="57" t="str">
        <f>IF(S$4&lt;Packages!$K$6,"",IF(S$4&lt;=EOMONTH(Packages!$K$6,Packages!$L$6-1),"D",IF(S$4&lt;=EOMONTH(Packages!$K$6,Packages!$L$6+Packages!$M$6-1),"B",IF(S$4&lt;=EOMONTH(Packages!$K$6,Packages!$L$6+Packages!$M$6+Packages!$N$6-1),"U",IF(S$4&lt;=EOMONTH(Packages!$K$6,Packages!$L$6+Packages!$M$6+Packages!$N$6+Packages!$O$6-1),"G",IF(S$4&lt;=EOMONTH(Packages!$K$6,Packages!$L$6+Packages!$M$6+Packages!$N$6+Packages!$O$6+Packages!$P$6-1),"S",""))))))</f>
        <v/>
      </c>
      <c r="T5" s="57" t="str">
        <f>IF(T$4&lt;Packages!$K$6,"",IF(T$4&lt;=EOMONTH(Packages!$K$6,Packages!$L$6-1),"D",IF(T$4&lt;=EOMONTH(Packages!$K$6,Packages!$L$6+Packages!$M$6-1),"B",IF(T$4&lt;=EOMONTH(Packages!$K$6,Packages!$L$6+Packages!$M$6+Packages!$N$6-1),"U",IF(T$4&lt;=EOMONTH(Packages!$K$6,Packages!$L$6+Packages!$M$6+Packages!$N$6+Packages!$O$6-1),"G",IF(T$4&lt;=EOMONTH(Packages!$K$6,Packages!$L$6+Packages!$M$6+Packages!$N$6+Packages!$O$6+Packages!$P$6-1),"S",""))))))</f>
        <v/>
      </c>
      <c r="U5" s="57" t="str">
        <f>IF(U$4&lt;Packages!$K$6,"",IF(U$4&lt;=EOMONTH(Packages!$K$6,Packages!$L$6-1),"D",IF(U$4&lt;=EOMONTH(Packages!$K$6,Packages!$L$6+Packages!$M$6-1),"B",IF(U$4&lt;=EOMONTH(Packages!$K$6,Packages!$L$6+Packages!$M$6+Packages!$N$6-1),"U",IF(U$4&lt;=EOMONTH(Packages!$K$6,Packages!$L$6+Packages!$M$6+Packages!$N$6+Packages!$O$6-1),"G",IF(U$4&lt;=EOMONTH(Packages!$K$6,Packages!$L$6+Packages!$M$6+Packages!$N$6+Packages!$O$6+Packages!$P$6-1),"S",""))))))</f>
        <v/>
      </c>
      <c r="V5" s="57" t="str">
        <f>IF(V$4&lt;Packages!$K$6,"",IF(V$4&lt;=EOMONTH(Packages!$K$6,Packages!$L$6-1),"D",IF(V$4&lt;=EOMONTH(Packages!$K$6,Packages!$L$6+Packages!$M$6-1),"B",IF(V$4&lt;=EOMONTH(Packages!$K$6,Packages!$L$6+Packages!$M$6+Packages!$N$6-1),"U",IF(V$4&lt;=EOMONTH(Packages!$K$6,Packages!$L$6+Packages!$M$6+Packages!$N$6+Packages!$O$6-1),"G",IF(V$4&lt;=EOMONTH(Packages!$K$6,Packages!$L$6+Packages!$M$6+Packages!$N$6+Packages!$O$6+Packages!$P$6-1),"S",""))))))</f>
        <v/>
      </c>
      <c r="W5" s="57" t="str">
        <f>IF(W$4&lt;Packages!$K$6,"",IF(W$4&lt;=EOMONTH(Packages!$K$6,Packages!$L$6-1),"D",IF(W$4&lt;=EOMONTH(Packages!$K$6,Packages!$L$6+Packages!$M$6-1),"B",IF(W$4&lt;=EOMONTH(Packages!$K$6,Packages!$L$6+Packages!$M$6+Packages!$N$6-1),"U",IF(W$4&lt;=EOMONTH(Packages!$K$6,Packages!$L$6+Packages!$M$6+Packages!$N$6+Packages!$O$6-1),"G",IF(W$4&lt;=EOMONTH(Packages!$K$6,Packages!$L$6+Packages!$M$6+Packages!$N$6+Packages!$O$6+Packages!$P$6-1),"S",""))))))</f>
        <v/>
      </c>
      <c r="X5" s="57" t="str">
        <f>IF(X$4&lt;Packages!$K$6,"",IF(X$4&lt;=EOMONTH(Packages!$K$6,Packages!$L$6-1),"D",IF(X$4&lt;=EOMONTH(Packages!$K$6,Packages!$L$6+Packages!$M$6-1),"B",IF(X$4&lt;=EOMONTH(Packages!$K$6,Packages!$L$6+Packages!$M$6+Packages!$N$6-1),"U",IF(X$4&lt;=EOMONTH(Packages!$K$6,Packages!$L$6+Packages!$M$6+Packages!$N$6+Packages!$O$6-1),"G",IF(X$4&lt;=EOMONTH(Packages!$K$6,Packages!$L$6+Packages!$M$6+Packages!$N$6+Packages!$O$6+Packages!$P$6-1),"S",""))))))</f>
        <v/>
      </c>
      <c r="Y5" s="57" t="str">
        <f>IF(Y$4&lt;Packages!$K$6,"",IF(Y$4&lt;=EOMONTH(Packages!$K$6,Packages!$L$6-1),"D",IF(Y$4&lt;=EOMONTH(Packages!$K$6,Packages!$L$6+Packages!$M$6-1),"B",IF(Y$4&lt;=EOMONTH(Packages!$K$6,Packages!$L$6+Packages!$M$6+Packages!$N$6-1),"U",IF(Y$4&lt;=EOMONTH(Packages!$K$6,Packages!$L$6+Packages!$M$6+Packages!$N$6+Packages!$O$6-1),"G",IF(Y$4&lt;=EOMONTH(Packages!$K$6,Packages!$L$6+Packages!$M$6+Packages!$N$6+Packages!$O$6+Packages!$P$6-1),"S",""))))))</f>
        <v/>
      </c>
      <c r="Z5" s="57" t="str">
        <f>IF(Z$4&lt;Packages!$K$6,"",IF(Z$4&lt;=EOMONTH(Packages!$K$6,Packages!$L$6-1),"D",IF(Z$4&lt;=EOMONTH(Packages!$K$6,Packages!$L$6+Packages!$M$6-1),"B",IF(Z$4&lt;=EOMONTH(Packages!$K$6,Packages!$L$6+Packages!$M$6+Packages!$N$6-1),"U",IF(Z$4&lt;=EOMONTH(Packages!$K$6,Packages!$L$6+Packages!$M$6+Packages!$N$6+Packages!$O$6-1),"G",IF(Z$4&lt;=EOMONTH(Packages!$K$6,Packages!$L$6+Packages!$M$6+Packages!$N$6+Packages!$O$6+Packages!$P$6-1),"S",""))))))</f>
        <v/>
      </c>
      <c r="AA5" s="57" t="str">
        <f>IF(AA$4&lt;Packages!$K$6,"",IF(AA$4&lt;=EOMONTH(Packages!$K$6,Packages!$L$6-1),"D",IF(AA$4&lt;=EOMONTH(Packages!$K$6,Packages!$L$6+Packages!$M$6-1),"B",IF(AA$4&lt;=EOMONTH(Packages!$K$6,Packages!$L$6+Packages!$M$6+Packages!$N$6-1),"U",IF(AA$4&lt;=EOMONTH(Packages!$K$6,Packages!$L$6+Packages!$M$6+Packages!$N$6+Packages!$O$6-1),"G",IF(AA$4&lt;=EOMONTH(Packages!$K$6,Packages!$L$6+Packages!$M$6+Packages!$N$6+Packages!$O$6+Packages!$P$6-1),"S",""))))))</f>
        <v/>
      </c>
      <c r="AB5" s="57" t="str">
        <f>IF(AB$4&lt;Packages!$K$6,"",IF(AB$4&lt;=EOMONTH(Packages!$K$6,Packages!$L$6-1),"D",IF(AB$4&lt;=EOMONTH(Packages!$K$6,Packages!$L$6+Packages!$M$6-1),"B",IF(AB$4&lt;=EOMONTH(Packages!$K$6,Packages!$L$6+Packages!$M$6+Packages!$N$6-1),"U",IF(AB$4&lt;=EOMONTH(Packages!$K$6,Packages!$L$6+Packages!$M$6+Packages!$N$6+Packages!$O$6-1),"G",IF(AB$4&lt;=EOMONTH(Packages!$K$6,Packages!$L$6+Packages!$M$6+Packages!$N$6+Packages!$O$6+Packages!$P$6-1),"S",""))))))</f>
        <v/>
      </c>
      <c r="AC5" s="57" t="str">
        <f>IF(AC$4&lt;Packages!$K$6,"",IF(AC$4&lt;=EOMONTH(Packages!$K$6,Packages!$L$6-1),"D",IF(AC$4&lt;=EOMONTH(Packages!$K$6,Packages!$L$6+Packages!$M$6-1),"B",IF(AC$4&lt;=EOMONTH(Packages!$K$6,Packages!$L$6+Packages!$M$6+Packages!$N$6-1),"U",IF(AC$4&lt;=EOMONTH(Packages!$K$6,Packages!$L$6+Packages!$M$6+Packages!$N$6+Packages!$O$6-1),"G",IF(AC$4&lt;=EOMONTH(Packages!$K$6,Packages!$L$6+Packages!$M$6+Packages!$N$6+Packages!$O$6+Packages!$P$6-1),"S",""))))))</f>
        <v/>
      </c>
      <c r="AD5" s="57" t="str">
        <f>IF(AD$4&lt;Packages!$K$6,"",IF(AD$4&lt;=EOMONTH(Packages!$K$6,Packages!$L$6-1),"D",IF(AD$4&lt;=EOMONTH(Packages!$K$6,Packages!$L$6+Packages!$M$6-1),"B",IF(AD$4&lt;=EOMONTH(Packages!$K$6,Packages!$L$6+Packages!$M$6+Packages!$N$6-1),"U",IF(AD$4&lt;=EOMONTH(Packages!$K$6,Packages!$L$6+Packages!$M$6+Packages!$N$6+Packages!$O$6-1),"G",IF(AD$4&lt;=EOMONTH(Packages!$K$6,Packages!$L$6+Packages!$M$6+Packages!$N$6+Packages!$O$6+Packages!$P$6-1),"S",""))))))</f>
        <v/>
      </c>
      <c r="AE5" s="57" t="str">
        <f>IF(AE$4&lt;Packages!$K$6,"",IF(AE$4&lt;=EOMONTH(Packages!$K$6,Packages!$L$6-1),"D",IF(AE$4&lt;=EOMONTH(Packages!$K$6,Packages!$L$6+Packages!$M$6-1),"B",IF(AE$4&lt;=EOMONTH(Packages!$K$6,Packages!$L$6+Packages!$M$6+Packages!$N$6-1),"U",IF(AE$4&lt;=EOMONTH(Packages!$K$6,Packages!$L$6+Packages!$M$6+Packages!$N$6+Packages!$O$6-1),"G",IF(AE$4&lt;=EOMONTH(Packages!$K$6,Packages!$L$6+Packages!$M$6+Packages!$N$6+Packages!$O$6+Packages!$P$6-1),"S",""))))))</f>
        <v/>
      </c>
      <c r="AF5" s="57" t="str">
        <f>IF(AF$4&lt;Packages!$K$6,"",IF(AF$4&lt;=EOMONTH(Packages!$K$6,Packages!$L$6-1),"D",IF(AF$4&lt;=EOMONTH(Packages!$K$6,Packages!$L$6+Packages!$M$6-1),"B",IF(AF$4&lt;=EOMONTH(Packages!$K$6,Packages!$L$6+Packages!$M$6+Packages!$N$6-1),"U",IF(AF$4&lt;=EOMONTH(Packages!$K$6,Packages!$L$6+Packages!$M$6+Packages!$N$6+Packages!$O$6-1),"G",IF(AF$4&lt;=EOMONTH(Packages!$K$6,Packages!$L$6+Packages!$M$6+Packages!$N$6+Packages!$O$6+Packages!$P$6-1),"S",""))))))</f>
        <v/>
      </c>
      <c r="AG5" s="57" t="str">
        <f>IF(AG$4&lt;Packages!$K$6,"",IF(AG$4&lt;=EOMONTH(Packages!$K$6,Packages!$L$6-1),"D",IF(AG$4&lt;=EOMONTH(Packages!$K$6,Packages!$L$6+Packages!$M$6-1),"B",IF(AG$4&lt;=EOMONTH(Packages!$K$6,Packages!$L$6+Packages!$M$6+Packages!$N$6-1),"U",IF(AG$4&lt;=EOMONTH(Packages!$K$6,Packages!$L$6+Packages!$M$6+Packages!$N$6+Packages!$O$6-1),"G",IF(AG$4&lt;=EOMONTH(Packages!$K$6,Packages!$L$6+Packages!$M$6+Packages!$N$6+Packages!$O$6+Packages!$P$6-1),"S",""))))))</f>
        <v/>
      </c>
      <c r="AH5" s="57" t="str">
        <f>IF(AH$4&lt;Packages!$K$6,"",IF(AH$4&lt;=EOMONTH(Packages!$K$6,Packages!$L$6-1),"D",IF(AH$4&lt;=EOMONTH(Packages!$K$6,Packages!$L$6+Packages!$M$6-1),"B",IF(AH$4&lt;=EOMONTH(Packages!$K$6,Packages!$L$6+Packages!$M$6+Packages!$N$6-1),"U",IF(AH$4&lt;=EOMONTH(Packages!$K$6,Packages!$L$6+Packages!$M$6+Packages!$N$6+Packages!$O$6-1),"G",IF(AH$4&lt;=EOMONTH(Packages!$K$6,Packages!$L$6+Packages!$M$6+Packages!$N$6+Packages!$O$6+Packages!$P$6-1),"S",""))))))</f>
        <v/>
      </c>
      <c r="AI5" s="57" t="str">
        <f>IF(AI$4&lt;Packages!$K$6,"",IF(AI$4&lt;=EOMONTH(Packages!$K$6,Packages!$L$6-1),"D",IF(AI$4&lt;=EOMONTH(Packages!$K$6,Packages!$L$6+Packages!$M$6-1),"B",IF(AI$4&lt;=EOMONTH(Packages!$K$6,Packages!$L$6+Packages!$M$6+Packages!$N$6-1),"U",IF(AI$4&lt;=EOMONTH(Packages!$K$6,Packages!$L$6+Packages!$M$6+Packages!$N$6+Packages!$O$6-1),"G",IF(AI$4&lt;=EOMONTH(Packages!$K$6,Packages!$L$6+Packages!$M$6+Packages!$N$6+Packages!$O$6+Packages!$P$6-1),"S",""))))))</f>
        <v/>
      </c>
      <c r="AJ5" s="57" t="str">
        <f>IF(AJ$4&lt;Packages!$K$6,"",IF(AJ$4&lt;=EOMONTH(Packages!$K$6,Packages!$L$6-1),"D",IF(AJ$4&lt;=EOMONTH(Packages!$K$6,Packages!$L$6+Packages!$M$6-1),"B",IF(AJ$4&lt;=EOMONTH(Packages!$K$6,Packages!$L$6+Packages!$M$6+Packages!$N$6-1),"U",IF(AJ$4&lt;=EOMONTH(Packages!$K$6,Packages!$L$6+Packages!$M$6+Packages!$N$6+Packages!$O$6-1),"G",IF(AJ$4&lt;=EOMONTH(Packages!$K$6,Packages!$L$6+Packages!$M$6+Packages!$N$6+Packages!$O$6+Packages!$P$6-1),"S",""))))))</f>
        <v/>
      </c>
      <c r="AK5" s="57" t="str">
        <f>IF(AK$4&lt;Packages!$K$6,"",IF(AK$4&lt;=EOMONTH(Packages!$K$6,Packages!$L$6-1),"D",IF(AK$4&lt;=EOMONTH(Packages!$K$6,Packages!$L$6+Packages!$M$6-1),"B",IF(AK$4&lt;=EOMONTH(Packages!$K$6,Packages!$L$6+Packages!$M$6+Packages!$N$6-1),"U",IF(AK$4&lt;=EOMONTH(Packages!$K$6,Packages!$L$6+Packages!$M$6+Packages!$N$6+Packages!$O$6-1),"G",IF(AK$4&lt;=EOMONTH(Packages!$K$6,Packages!$L$6+Packages!$M$6+Packages!$N$6+Packages!$O$6+Packages!$P$6-1),"S",""))))))</f>
        <v/>
      </c>
      <c r="AL5" s="57" t="str">
        <f>IF(AL$4&lt;Packages!$K$6,"",IF(AL$4&lt;=EOMONTH(Packages!$K$6,Packages!$L$6-1),"D",IF(AL$4&lt;=EOMONTH(Packages!$K$6,Packages!$L$6+Packages!$M$6-1),"B",IF(AL$4&lt;=EOMONTH(Packages!$K$6,Packages!$L$6+Packages!$M$6+Packages!$N$6-1),"U",IF(AL$4&lt;=EOMONTH(Packages!$K$6,Packages!$L$6+Packages!$M$6+Packages!$N$6+Packages!$O$6-1),"G",IF(AL$4&lt;=EOMONTH(Packages!$K$6,Packages!$L$6+Packages!$M$6+Packages!$N$6+Packages!$O$6+Packages!$P$6-1),"S",""))))))</f>
        <v/>
      </c>
      <c r="AM5" s="57" t="str">
        <f>IF(AM$4&lt;Packages!$K$6,"",IF(AM$4&lt;=EOMONTH(Packages!$K$6,Packages!$L$6-1),"D",IF(AM$4&lt;=EOMONTH(Packages!$K$6,Packages!$L$6+Packages!$M$6-1),"B",IF(AM$4&lt;=EOMONTH(Packages!$K$6,Packages!$L$6+Packages!$M$6+Packages!$N$6-1),"U",IF(AM$4&lt;=EOMONTH(Packages!$K$6,Packages!$L$6+Packages!$M$6+Packages!$N$6+Packages!$O$6-1),"G",IF(AM$4&lt;=EOMONTH(Packages!$K$6,Packages!$L$6+Packages!$M$6+Packages!$N$6+Packages!$O$6+Packages!$P$6-1),"S",""))))))</f>
        <v/>
      </c>
      <c r="AN5" s="57" t="str">
        <f>IF(AN$4&lt;Packages!$K$6,"",IF(AN$4&lt;=EOMONTH(Packages!$K$6,Packages!$L$6-1),"D",IF(AN$4&lt;=EOMONTH(Packages!$K$6,Packages!$L$6+Packages!$M$6-1),"B",IF(AN$4&lt;=EOMONTH(Packages!$K$6,Packages!$L$6+Packages!$M$6+Packages!$N$6-1),"U",IF(AN$4&lt;=EOMONTH(Packages!$K$6,Packages!$L$6+Packages!$M$6+Packages!$N$6+Packages!$O$6-1),"G",IF(AN$4&lt;=EOMONTH(Packages!$K$6,Packages!$L$6+Packages!$M$6+Packages!$N$6+Packages!$O$6+Packages!$P$6-1),"S",""))))))</f>
        <v/>
      </c>
      <c r="AO5" s="57" t="str">
        <f>IF(AO$4&lt;Packages!$K$6,"",IF(AO$4&lt;=EOMONTH(Packages!$K$6,Packages!$L$6-1),"D",IF(AO$4&lt;=EOMONTH(Packages!$K$6,Packages!$L$6+Packages!$M$6-1),"B",IF(AO$4&lt;=EOMONTH(Packages!$K$6,Packages!$L$6+Packages!$M$6+Packages!$N$6-1),"U",IF(AO$4&lt;=EOMONTH(Packages!$K$6,Packages!$L$6+Packages!$M$6+Packages!$N$6+Packages!$O$6-1),"G",IF(AO$4&lt;=EOMONTH(Packages!$K$6,Packages!$L$6+Packages!$M$6+Packages!$N$6+Packages!$O$6+Packages!$P$6-1),"S",""))))))</f>
        <v/>
      </c>
    </row>
    <row r="6" spans="1:41" ht="30" customHeight="1" x14ac:dyDescent="0.3">
      <c r="A6" s="9" t="str">
        <f>Packages!A7</f>
        <v>WP2</v>
      </c>
      <c r="B6" s="10" t="str">
        <f>Packages!B7</f>
        <v>CM licence services (non-scope &amp; scope: new, renewal, brand inclusion) + common suspension / cancellation / withdrawal</v>
      </c>
      <c r="C6" s="57" t="str">
        <f>IF(C$4&lt;Packages!$K$7,"",IF(C$4&lt;=EOMONTH(Packages!$K$7,Packages!$L$7-1),"D",IF(C$4&lt;=EOMONTH(Packages!$K$7,Packages!$L$7+Packages!$M$7-1),"B",IF(C$4&lt;=EOMONTH(Packages!$K$7,Packages!$L$7+Packages!$M$7+Packages!$N$7-1),"U",IF(C$4&lt;=EOMONTH(Packages!$K$7,Packages!$L$7+Packages!$M$7+Packages!$N$7+Packages!$O$7-1),"G",IF(C$4&lt;=EOMONTH(Packages!$K$7,Packages!$L$7+Packages!$M$7+Packages!$N$7+Packages!$O$7+Packages!$P$7-1),"S",""))))))</f>
        <v/>
      </c>
      <c r="D6" s="57" t="str">
        <f>IF(D$4&lt;Packages!$K$7,"",IF(D$4&lt;=EOMONTH(Packages!$K$7,Packages!$L$7-1),"D",IF(D$4&lt;=EOMONTH(Packages!$K$7,Packages!$L$7+Packages!$M$7-1),"B",IF(D$4&lt;=EOMONTH(Packages!$K$7,Packages!$L$7+Packages!$M$7+Packages!$N$7-1),"U",IF(D$4&lt;=EOMONTH(Packages!$K$7,Packages!$L$7+Packages!$M$7+Packages!$N$7+Packages!$O$7-1),"G",IF(D$4&lt;=EOMONTH(Packages!$K$7,Packages!$L$7+Packages!$M$7+Packages!$N$7+Packages!$O$7+Packages!$P$7-1),"S",""))))))</f>
        <v/>
      </c>
      <c r="E6" s="57" t="str">
        <f>IF(E$4&lt;Packages!$K$7,"",IF(E$4&lt;=EOMONTH(Packages!$K$7,Packages!$L$7-1),"D",IF(E$4&lt;=EOMONTH(Packages!$K$7,Packages!$L$7+Packages!$M$7-1),"B",IF(E$4&lt;=EOMONTH(Packages!$K$7,Packages!$L$7+Packages!$M$7+Packages!$N$7-1),"U",IF(E$4&lt;=EOMONTH(Packages!$K$7,Packages!$L$7+Packages!$M$7+Packages!$N$7+Packages!$O$7-1),"G",IF(E$4&lt;=EOMONTH(Packages!$K$7,Packages!$L$7+Packages!$M$7+Packages!$N$7+Packages!$O$7+Packages!$P$7-1),"S",""))))))</f>
        <v>D</v>
      </c>
      <c r="F6" s="57" t="str">
        <f>IF(F$4&lt;Packages!$K$7,"",IF(F$4&lt;=EOMONTH(Packages!$K$7,Packages!$L$7-1),"D",IF(F$4&lt;=EOMONTH(Packages!$K$7,Packages!$L$7+Packages!$M$7-1),"B",IF(F$4&lt;=EOMONTH(Packages!$K$7,Packages!$L$7+Packages!$M$7+Packages!$N$7-1),"U",IF(F$4&lt;=EOMONTH(Packages!$K$7,Packages!$L$7+Packages!$M$7+Packages!$N$7+Packages!$O$7-1),"G",IF(F$4&lt;=EOMONTH(Packages!$K$7,Packages!$L$7+Packages!$M$7+Packages!$N$7+Packages!$O$7+Packages!$P$7-1),"S",""))))))</f>
        <v>D</v>
      </c>
      <c r="G6" s="57" t="str">
        <f>IF(G$4&lt;Packages!$K$7,"",IF(G$4&lt;=EOMONTH(Packages!$K$7,Packages!$L$7-1),"D",IF(G$4&lt;=EOMONTH(Packages!$K$7,Packages!$L$7+Packages!$M$7-1),"B",IF(G$4&lt;=EOMONTH(Packages!$K$7,Packages!$L$7+Packages!$M$7+Packages!$N$7-1),"U",IF(G$4&lt;=EOMONTH(Packages!$K$7,Packages!$L$7+Packages!$M$7+Packages!$N$7+Packages!$O$7-1),"G",IF(G$4&lt;=EOMONTH(Packages!$K$7,Packages!$L$7+Packages!$M$7+Packages!$N$7+Packages!$O$7+Packages!$P$7-1),"S",""))))))</f>
        <v>B</v>
      </c>
      <c r="H6" s="57" t="str">
        <f>IF(H$4&lt;Packages!$K$7,"",IF(H$4&lt;=EOMONTH(Packages!$K$7,Packages!$L$7-1),"D",IF(H$4&lt;=EOMONTH(Packages!$K$7,Packages!$L$7+Packages!$M$7-1),"B",IF(H$4&lt;=EOMONTH(Packages!$K$7,Packages!$L$7+Packages!$M$7+Packages!$N$7-1),"U",IF(H$4&lt;=EOMONTH(Packages!$K$7,Packages!$L$7+Packages!$M$7+Packages!$N$7+Packages!$O$7-1),"G",IF(H$4&lt;=EOMONTH(Packages!$K$7,Packages!$L$7+Packages!$M$7+Packages!$N$7+Packages!$O$7+Packages!$P$7-1),"S",""))))))</f>
        <v>B</v>
      </c>
      <c r="I6" s="57" t="str">
        <f>IF(I$4&lt;Packages!$K$7,"",IF(I$4&lt;=EOMONTH(Packages!$K$7,Packages!$L$7-1),"D",IF(I$4&lt;=EOMONTH(Packages!$K$7,Packages!$L$7+Packages!$M$7-1),"B",IF(I$4&lt;=EOMONTH(Packages!$K$7,Packages!$L$7+Packages!$M$7+Packages!$N$7-1),"U",IF(I$4&lt;=EOMONTH(Packages!$K$7,Packages!$L$7+Packages!$M$7+Packages!$N$7+Packages!$O$7-1),"G",IF(I$4&lt;=EOMONTH(Packages!$K$7,Packages!$L$7+Packages!$M$7+Packages!$N$7+Packages!$O$7+Packages!$P$7-1),"S",""))))))</f>
        <v>B</v>
      </c>
      <c r="J6" s="57" t="str">
        <f>IF(J$4&lt;Packages!$K$7,"",IF(J$4&lt;=EOMONTH(Packages!$K$7,Packages!$L$7-1),"D",IF(J$4&lt;=EOMONTH(Packages!$K$7,Packages!$L$7+Packages!$M$7-1),"B",IF(J$4&lt;=EOMONTH(Packages!$K$7,Packages!$L$7+Packages!$M$7+Packages!$N$7-1),"U",IF(J$4&lt;=EOMONTH(Packages!$K$7,Packages!$L$7+Packages!$M$7+Packages!$N$7+Packages!$O$7-1),"G",IF(J$4&lt;=EOMONTH(Packages!$K$7,Packages!$L$7+Packages!$M$7+Packages!$N$7+Packages!$O$7+Packages!$P$7-1),"S",""))))))</f>
        <v>B</v>
      </c>
      <c r="K6" s="57" t="str">
        <f>IF(K$4&lt;Packages!$K$7,"",IF(K$4&lt;=EOMONTH(Packages!$K$7,Packages!$L$7-1),"D",IF(K$4&lt;=EOMONTH(Packages!$K$7,Packages!$L$7+Packages!$M$7-1),"B",IF(K$4&lt;=EOMONTH(Packages!$K$7,Packages!$L$7+Packages!$M$7+Packages!$N$7-1),"U",IF(K$4&lt;=EOMONTH(Packages!$K$7,Packages!$L$7+Packages!$M$7+Packages!$N$7+Packages!$O$7-1),"G",IF(K$4&lt;=EOMONTH(Packages!$K$7,Packages!$L$7+Packages!$M$7+Packages!$N$7+Packages!$O$7+Packages!$P$7-1),"S",""))))))</f>
        <v>B</v>
      </c>
      <c r="L6" s="57" t="str">
        <f>IF(L$4&lt;Packages!$K$7,"",IF(L$4&lt;=EOMONTH(Packages!$K$7,Packages!$L$7-1),"D",IF(L$4&lt;=EOMONTH(Packages!$K$7,Packages!$L$7+Packages!$M$7-1),"B",IF(L$4&lt;=EOMONTH(Packages!$K$7,Packages!$L$7+Packages!$M$7+Packages!$N$7-1),"U",IF(L$4&lt;=EOMONTH(Packages!$K$7,Packages!$L$7+Packages!$M$7+Packages!$N$7+Packages!$O$7-1),"G",IF(L$4&lt;=EOMONTH(Packages!$K$7,Packages!$L$7+Packages!$M$7+Packages!$N$7+Packages!$O$7+Packages!$P$7-1),"S",""))))))</f>
        <v>U</v>
      </c>
      <c r="M6" s="57" t="str">
        <f>IF(M$4&lt;Packages!$K$7,"",IF(M$4&lt;=EOMONTH(Packages!$K$7,Packages!$L$7-1),"D",IF(M$4&lt;=EOMONTH(Packages!$K$7,Packages!$L$7+Packages!$M$7-1),"B",IF(M$4&lt;=EOMONTH(Packages!$K$7,Packages!$L$7+Packages!$M$7+Packages!$N$7-1),"U",IF(M$4&lt;=EOMONTH(Packages!$K$7,Packages!$L$7+Packages!$M$7+Packages!$N$7+Packages!$O$7-1),"G",IF(M$4&lt;=EOMONTH(Packages!$K$7,Packages!$L$7+Packages!$M$7+Packages!$N$7+Packages!$O$7+Packages!$P$7-1),"S",""))))))</f>
        <v>G</v>
      </c>
      <c r="N6" s="57" t="str">
        <f>IF(N$4&lt;Packages!$K$7,"",IF(N$4&lt;=EOMONTH(Packages!$K$7,Packages!$L$7-1),"D",IF(N$4&lt;=EOMONTH(Packages!$K$7,Packages!$L$7+Packages!$M$7-1),"B",IF(N$4&lt;=EOMONTH(Packages!$K$7,Packages!$L$7+Packages!$M$7+Packages!$N$7-1),"U",IF(N$4&lt;=EOMONTH(Packages!$K$7,Packages!$L$7+Packages!$M$7+Packages!$N$7+Packages!$O$7-1),"G",IF(N$4&lt;=EOMONTH(Packages!$K$7,Packages!$L$7+Packages!$M$7+Packages!$N$7+Packages!$O$7+Packages!$P$7-1),"S",""))))))</f>
        <v>S</v>
      </c>
      <c r="O6" s="57" t="str">
        <f>IF(O$4&lt;Packages!$K$7,"",IF(O$4&lt;=EOMONTH(Packages!$K$7,Packages!$L$7-1),"D",IF(O$4&lt;=EOMONTH(Packages!$K$7,Packages!$L$7+Packages!$M$7-1),"B",IF(O$4&lt;=EOMONTH(Packages!$K$7,Packages!$L$7+Packages!$M$7+Packages!$N$7-1),"U",IF(O$4&lt;=EOMONTH(Packages!$K$7,Packages!$L$7+Packages!$M$7+Packages!$N$7+Packages!$O$7-1),"G",IF(O$4&lt;=EOMONTH(Packages!$K$7,Packages!$L$7+Packages!$M$7+Packages!$N$7+Packages!$O$7+Packages!$P$7-1),"S",""))))))</f>
        <v>S</v>
      </c>
      <c r="P6" s="57" t="str">
        <f>IF(P$4&lt;Packages!$K$7,"",IF(P$4&lt;=EOMONTH(Packages!$K$7,Packages!$L$7-1),"D",IF(P$4&lt;=EOMONTH(Packages!$K$7,Packages!$L$7+Packages!$M$7-1),"B",IF(P$4&lt;=EOMONTH(Packages!$K$7,Packages!$L$7+Packages!$M$7+Packages!$N$7-1),"U",IF(P$4&lt;=EOMONTH(Packages!$K$7,Packages!$L$7+Packages!$M$7+Packages!$N$7+Packages!$O$7-1),"G",IF(P$4&lt;=EOMONTH(Packages!$K$7,Packages!$L$7+Packages!$M$7+Packages!$N$7+Packages!$O$7+Packages!$P$7-1),"S",""))))))</f>
        <v>S</v>
      </c>
      <c r="Q6" s="57" t="str">
        <f>IF(Q$4&lt;Packages!$K$7,"",IF(Q$4&lt;=EOMONTH(Packages!$K$7,Packages!$L$7-1),"D",IF(Q$4&lt;=EOMONTH(Packages!$K$7,Packages!$L$7+Packages!$M$7-1),"B",IF(Q$4&lt;=EOMONTH(Packages!$K$7,Packages!$L$7+Packages!$M$7+Packages!$N$7-1),"U",IF(Q$4&lt;=EOMONTH(Packages!$K$7,Packages!$L$7+Packages!$M$7+Packages!$N$7+Packages!$O$7-1),"G",IF(Q$4&lt;=EOMONTH(Packages!$K$7,Packages!$L$7+Packages!$M$7+Packages!$N$7+Packages!$O$7+Packages!$P$7-1),"S",""))))))</f>
        <v/>
      </c>
      <c r="R6" s="57" t="str">
        <f>IF(R$4&lt;Packages!$K$7,"",IF(R$4&lt;=EOMONTH(Packages!$K$7,Packages!$L$7-1),"D",IF(R$4&lt;=EOMONTH(Packages!$K$7,Packages!$L$7+Packages!$M$7-1),"B",IF(R$4&lt;=EOMONTH(Packages!$K$7,Packages!$L$7+Packages!$M$7+Packages!$N$7-1),"U",IF(R$4&lt;=EOMONTH(Packages!$K$7,Packages!$L$7+Packages!$M$7+Packages!$N$7+Packages!$O$7-1),"G",IF(R$4&lt;=EOMONTH(Packages!$K$7,Packages!$L$7+Packages!$M$7+Packages!$N$7+Packages!$O$7+Packages!$P$7-1),"S",""))))))</f>
        <v/>
      </c>
      <c r="S6" s="57" t="str">
        <f>IF(S$4&lt;Packages!$K$7,"",IF(S$4&lt;=EOMONTH(Packages!$K$7,Packages!$L$7-1),"D",IF(S$4&lt;=EOMONTH(Packages!$K$7,Packages!$L$7+Packages!$M$7-1),"B",IF(S$4&lt;=EOMONTH(Packages!$K$7,Packages!$L$7+Packages!$M$7+Packages!$N$7-1),"U",IF(S$4&lt;=EOMONTH(Packages!$K$7,Packages!$L$7+Packages!$M$7+Packages!$N$7+Packages!$O$7-1),"G",IF(S$4&lt;=EOMONTH(Packages!$K$7,Packages!$L$7+Packages!$M$7+Packages!$N$7+Packages!$O$7+Packages!$P$7-1),"S",""))))))</f>
        <v/>
      </c>
      <c r="T6" s="57" t="str">
        <f>IF(T$4&lt;Packages!$K$7,"",IF(T$4&lt;=EOMONTH(Packages!$K$7,Packages!$L$7-1),"D",IF(T$4&lt;=EOMONTH(Packages!$K$7,Packages!$L$7+Packages!$M$7-1),"B",IF(T$4&lt;=EOMONTH(Packages!$K$7,Packages!$L$7+Packages!$M$7+Packages!$N$7-1),"U",IF(T$4&lt;=EOMONTH(Packages!$K$7,Packages!$L$7+Packages!$M$7+Packages!$N$7+Packages!$O$7-1),"G",IF(T$4&lt;=EOMONTH(Packages!$K$7,Packages!$L$7+Packages!$M$7+Packages!$N$7+Packages!$O$7+Packages!$P$7-1),"S",""))))))</f>
        <v/>
      </c>
      <c r="U6" s="57" t="str">
        <f>IF(U$4&lt;Packages!$K$7,"",IF(U$4&lt;=EOMONTH(Packages!$K$7,Packages!$L$7-1),"D",IF(U$4&lt;=EOMONTH(Packages!$K$7,Packages!$L$7+Packages!$M$7-1),"B",IF(U$4&lt;=EOMONTH(Packages!$K$7,Packages!$L$7+Packages!$M$7+Packages!$N$7-1),"U",IF(U$4&lt;=EOMONTH(Packages!$K$7,Packages!$L$7+Packages!$M$7+Packages!$N$7+Packages!$O$7-1),"G",IF(U$4&lt;=EOMONTH(Packages!$K$7,Packages!$L$7+Packages!$M$7+Packages!$N$7+Packages!$O$7+Packages!$P$7-1),"S",""))))))</f>
        <v/>
      </c>
      <c r="V6" s="57" t="str">
        <f>IF(V$4&lt;Packages!$K$7,"",IF(V$4&lt;=EOMONTH(Packages!$K$7,Packages!$L$7-1),"D",IF(V$4&lt;=EOMONTH(Packages!$K$7,Packages!$L$7+Packages!$M$7-1),"B",IF(V$4&lt;=EOMONTH(Packages!$K$7,Packages!$L$7+Packages!$M$7+Packages!$N$7-1),"U",IF(V$4&lt;=EOMONTH(Packages!$K$7,Packages!$L$7+Packages!$M$7+Packages!$N$7+Packages!$O$7-1),"G",IF(V$4&lt;=EOMONTH(Packages!$K$7,Packages!$L$7+Packages!$M$7+Packages!$N$7+Packages!$O$7+Packages!$P$7-1),"S",""))))))</f>
        <v/>
      </c>
      <c r="W6" s="57" t="str">
        <f>IF(W$4&lt;Packages!$K$7,"",IF(W$4&lt;=EOMONTH(Packages!$K$7,Packages!$L$7-1),"D",IF(W$4&lt;=EOMONTH(Packages!$K$7,Packages!$L$7+Packages!$M$7-1),"B",IF(W$4&lt;=EOMONTH(Packages!$K$7,Packages!$L$7+Packages!$M$7+Packages!$N$7-1),"U",IF(W$4&lt;=EOMONTH(Packages!$K$7,Packages!$L$7+Packages!$M$7+Packages!$N$7+Packages!$O$7-1),"G",IF(W$4&lt;=EOMONTH(Packages!$K$7,Packages!$L$7+Packages!$M$7+Packages!$N$7+Packages!$O$7+Packages!$P$7-1),"S",""))))))</f>
        <v/>
      </c>
      <c r="X6" s="57" t="str">
        <f>IF(X$4&lt;Packages!$K$7,"",IF(X$4&lt;=EOMONTH(Packages!$K$7,Packages!$L$7-1),"D",IF(X$4&lt;=EOMONTH(Packages!$K$7,Packages!$L$7+Packages!$M$7-1),"B",IF(X$4&lt;=EOMONTH(Packages!$K$7,Packages!$L$7+Packages!$M$7+Packages!$N$7-1),"U",IF(X$4&lt;=EOMONTH(Packages!$K$7,Packages!$L$7+Packages!$M$7+Packages!$N$7+Packages!$O$7-1),"G",IF(X$4&lt;=EOMONTH(Packages!$K$7,Packages!$L$7+Packages!$M$7+Packages!$N$7+Packages!$O$7+Packages!$P$7-1),"S",""))))))</f>
        <v/>
      </c>
      <c r="Y6" s="57" t="str">
        <f>IF(Y$4&lt;Packages!$K$7,"",IF(Y$4&lt;=EOMONTH(Packages!$K$7,Packages!$L$7-1),"D",IF(Y$4&lt;=EOMONTH(Packages!$K$7,Packages!$L$7+Packages!$M$7-1),"B",IF(Y$4&lt;=EOMONTH(Packages!$K$7,Packages!$L$7+Packages!$M$7+Packages!$N$7-1),"U",IF(Y$4&lt;=EOMONTH(Packages!$K$7,Packages!$L$7+Packages!$M$7+Packages!$N$7+Packages!$O$7-1),"G",IF(Y$4&lt;=EOMONTH(Packages!$K$7,Packages!$L$7+Packages!$M$7+Packages!$N$7+Packages!$O$7+Packages!$P$7-1),"S",""))))))</f>
        <v/>
      </c>
      <c r="Z6" s="57" t="str">
        <f>IF(Z$4&lt;Packages!$K$7,"",IF(Z$4&lt;=EOMONTH(Packages!$K$7,Packages!$L$7-1),"D",IF(Z$4&lt;=EOMONTH(Packages!$K$7,Packages!$L$7+Packages!$M$7-1),"B",IF(Z$4&lt;=EOMONTH(Packages!$K$7,Packages!$L$7+Packages!$M$7+Packages!$N$7-1),"U",IF(Z$4&lt;=EOMONTH(Packages!$K$7,Packages!$L$7+Packages!$M$7+Packages!$N$7+Packages!$O$7-1),"G",IF(Z$4&lt;=EOMONTH(Packages!$K$7,Packages!$L$7+Packages!$M$7+Packages!$N$7+Packages!$O$7+Packages!$P$7-1),"S",""))))))</f>
        <v/>
      </c>
      <c r="AA6" s="57" t="str">
        <f>IF(AA$4&lt;Packages!$K$7,"",IF(AA$4&lt;=EOMONTH(Packages!$K$7,Packages!$L$7-1),"D",IF(AA$4&lt;=EOMONTH(Packages!$K$7,Packages!$L$7+Packages!$M$7-1),"B",IF(AA$4&lt;=EOMONTH(Packages!$K$7,Packages!$L$7+Packages!$M$7+Packages!$N$7-1),"U",IF(AA$4&lt;=EOMONTH(Packages!$K$7,Packages!$L$7+Packages!$M$7+Packages!$N$7+Packages!$O$7-1),"G",IF(AA$4&lt;=EOMONTH(Packages!$K$7,Packages!$L$7+Packages!$M$7+Packages!$N$7+Packages!$O$7+Packages!$P$7-1),"S",""))))))</f>
        <v/>
      </c>
      <c r="AB6" s="57" t="str">
        <f>IF(AB$4&lt;Packages!$K$7,"",IF(AB$4&lt;=EOMONTH(Packages!$K$7,Packages!$L$7-1),"D",IF(AB$4&lt;=EOMONTH(Packages!$K$7,Packages!$L$7+Packages!$M$7-1),"B",IF(AB$4&lt;=EOMONTH(Packages!$K$7,Packages!$L$7+Packages!$M$7+Packages!$N$7-1),"U",IF(AB$4&lt;=EOMONTH(Packages!$K$7,Packages!$L$7+Packages!$M$7+Packages!$N$7+Packages!$O$7-1),"G",IF(AB$4&lt;=EOMONTH(Packages!$K$7,Packages!$L$7+Packages!$M$7+Packages!$N$7+Packages!$O$7+Packages!$P$7-1),"S",""))))))</f>
        <v/>
      </c>
      <c r="AC6" s="57" t="str">
        <f>IF(AC$4&lt;Packages!$K$7,"",IF(AC$4&lt;=EOMONTH(Packages!$K$7,Packages!$L$7-1),"D",IF(AC$4&lt;=EOMONTH(Packages!$K$7,Packages!$L$7+Packages!$M$7-1),"B",IF(AC$4&lt;=EOMONTH(Packages!$K$7,Packages!$L$7+Packages!$M$7+Packages!$N$7-1),"U",IF(AC$4&lt;=EOMONTH(Packages!$K$7,Packages!$L$7+Packages!$M$7+Packages!$N$7+Packages!$O$7-1),"G",IF(AC$4&lt;=EOMONTH(Packages!$K$7,Packages!$L$7+Packages!$M$7+Packages!$N$7+Packages!$O$7+Packages!$P$7-1),"S",""))))))</f>
        <v/>
      </c>
      <c r="AD6" s="57" t="str">
        <f>IF(AD$4&lt;Packages!$K$7,"",IF(AD$4&lt;=EOMONTH(Packages!$K$7,Packages!$L$7-1),"D",IF(AD$4&lt;=EOMONTH(Packages!$K$7,Packages!$L$7+Packages!$M$7-1),"B",IF(AD$4&lt;=EOMONTH(Packages!$K$7,Packages!$L$7+Packages!$M$7+Packages!$N$7-1),"U",IF(AD$4&lt;=EOMONTH(Packages!$K$7,Packages!$L$7+Packages!$M$7+Packages!$N$7+Packages!$O$7-1),"G",IF(AD$4&lt;=EOMONTH(Packages!$K$7,Packages!$L$7+Packages!$M$7+Packages!$N$7+Packages!$O$7+Packages!$P$7-1),"S",""))))))</f>
        <v/>
      </c>
      <c r="AE6" s="57" t="str">
        <f>IF(AE$4&lt;Packages!$K$7,"",IF(AE$4&lt;=EOMONTH(Packages!$K$7,Packages!$L$7-1),"D",IF(AE$4&lt;=EOMONTH(Packages!$K$7,Packages!$L$7+Packages!$M$7-1),"B",IF(AE$4&lt;=EOMONTH(Packages!$K$7,Packages!$L$7+Packages!$M$7+Packages!$N$7-1),"U",IF(AE$4&lt;=EOMONTH(Packages!$K$7,Packages!$L$7+Packages!$M$7+Packages!$N$7+Packages!$O$7-1),"G",IF(AE$4&lt;=EOMONTH(Packages!$K$7,Packages!$L$7+Packages!$M$7+Packages!$N$7+Packages!$O$7+Packages!$P$7-1),"S",""))))))</f>
        <v/>
      </c>
      <c r="AF6" s="57" t="str">
        <f>IF(AF$4&lt;Packages!$K$7,"",IF(AF$4&lt;=EOMONTH(Packages!$K$7,Packages!$L$7-1),"D",IF(AF$4&lt;=EOMONTH(Packages!$K$7,Packages!$L$7+Packages!$M$7-1),"B",IF(AF$4&lt;=EOMONTH(Packages!$K$7,Packages!$L$7+Packages!$M$7+Packages!$N$7-1),"U",IF(AF$4&lt;=EOMONTH(Packages!$K$7,Packages!$L$7+Packages!$M$7+Packages!$N$7+Packages!$O$7-1),"G",IF(AF$4&lt;=EOMONTH(Packages!$K$7,Packages!$L$7+Packages!$M$7+Packages!$N$7+Packages!$O$7+Packages!$P$7-1),"S",""))))))</f>
        <v/>
      </c>
      <c r="AG6" s="57" t="str">
        <f>IF(AG$4&lt;Packages!$K$7,"",IF(AG$4&lt;=EOMONTH(Packages!$K$7,Packages!$L$7-1),"D",IF(AG$4&lt;=EOMONTH(Packages!$K$7,Packages!$L$7+Packages!$M$7-1),"B",IF(AG$4&lt;=EOMONTH(Packages!$K$7,Packages!$L$7+Packages!$M$7+Packages!$N$7-1),"U",IF(AG$4&lt;=EOMONTH(Packages!$K$7,Packages!$L$7+Packages!$M$7+Packages!$N$7+Packages!$O$7-1),"G",IF(AG$4&lt;=EOMONTH(Packages!$K$7,Packages!$L$7+Packages!$M$7+Packages!$N$7+Packages!$O$7+Packages!$P$7-1),"S",""))))))</f>
        <v/>
      </c>
      <c r="AH6" s="57" t="str">
        <f>IF(AH$4&lt;Packages!$K$7,"",IF(AH$4&lt;=EOMONTH(Packages!$K$7,Packages!$L$7-1),"D",IF(AH$4&lt;=EOMONTH(Packages!$K$7,Packages!$L$7+Packages!$M$7-1),"B",IF(AH$4&lt;=EOMONTH(Packages!$K$7,Packages!$L$7+Packages!$M$7+Packages!$N$7-1),"U",IF(AH$4&lt;=EOMONTH(Packages!$K$7,Packages!$L$7+Packages!$M$7+Packages!$N$7+Packages!$O$7-1),"G",IF(AH$4&lt;=EOMONTH(Packages!$K$7,Packages!$L$7+Packages!$M$7+Packages!$N$7+Packages!$O$7+Packages!$P$7-1),"S",""))))))</f>
        <v/>
      </c>
      <c r="AI6" s="57" t="str">
        <f>IF(AI$4&lt;Packages!$K$7,"",IF(AI$4&lt;=EOMONTH(Packages!$K$7,Packages!$L$7-1),"D",IF(AI$4&lt;=EOMONTH(Packages!$K$7,Packages!$L$7+Packages!$M$7-1),"B",IF(AI$4&lt;=EOMONTH(Packages!$K$7,Packages!$L$7+Packages!$M$7+Packages!$N$7-1),"U",IF(AI$4&lt;=EOMONTH(Packages!$K$7,Packages!$L$7+Packages!$M$7+Packages!$N$7+Packages!$O$7-1),"G",IF(AI$4&lt;=EOMONTH(Packages!$K$7,Packages!$L$7+Packages!$M$7+Packages!$N$7+Packages!$O$7+Packages!$P$7-1),"S",""))))))</f>
        <v/>
      </c>
      <c r="AJ6" s="57" t="str">
        <f>IF(AJ$4&lt;Packages!$K$7,"",IF(AJ$4&lt;=EOMONTH(Packages!$K$7,Packages!$L$7-1),"D",IF(AJ$4&lt;=EOMONTH(Packages!$K$7,Packages!$L$7+Packages!$M$7-1),"B",IF(AJ$4&lt;=EOMONTH(Packages!$K$7,Packages!$L$7+Packages!$M$7+Packages!$N$7-1),"U",IF(AJ$4&lt;=EOMONTH(Packages!$K$7,Packages!$L$7+Packages!$M$7+Packages!$N$7+Packages!$O$7-1),"G",IF(AJ$4&lt;=EOMONTH(Packages!$K$7,Packages!$L$7+Packages!$M$7+Packages!$N$7+Packages!$O$7+Packages!$P$7-1),"S",""))))))</f>
        <v/>
      </c>
      <c r="AK6" s="57" t="str">
        <f>IF(AK$4&lt;Packages!$K$7,"",IF(AK$4&lt;=EOMONTH(Packages!$K$7,Packages!$L$7-1),"D",IF(AK$4&lt;=EOMONTH(Packages!$K$7,Packages!$L$7+Packages!$M$7-1),"B",IF(AK$4&lt;=EOMONTH(Packages!$K$7,Packages!$L$7+Packages!$M$7+Packages!$N$7-1),"U",IF(AK$4&lt;=EOMONTH(Packages!$K$7,Packages!$L$7+Packages!$M$7+Packages!$N$7+Packages!$O$7-1),"G",IF(AK$4&lt;=EOMONTH(Packages!$K$7,Packages!$L$7+Packages!$M$7+Packages!$N$7+Packages!$O$7+Packages!$P$7-1),"S",""))))))</f>
        <v/>
      </c>
      <c r="AL6" s="57" t="str">
        <f>IF(AL$4&lt;Packages!$K$7,"",IF(AL$4&lt;=EOMONTH(Packages!$K$7,Packages!$L$7-1),"D",IF(AL$4&lt;=EOMONTH(Packages!$K$7,Packages!$L$7+Packages!$M$7-1),"B",IF(AL$4&lt;=EOMONTH(Packages!$K$7,Packages!$L$7+Packages!$M$7+Packages!$N$7-1),"U",IF(AL$4&lt;=EOMONTH(Packages!$K$7,Packages!$L$7+Packages!$M$7+Packages!$N$7+Packages!$O$7-1),"G",IF(AL$4&lt;=EOMONTH(Packages!$K$7,Packages!$L$7+Packages!$M$7+Packages!$N$7+Packages!$O$7+Packages!$P$7-1),"S",""))))))</f>
        <v/>
      </c>
      <c r="AM6" s="57" t="str">
        <f>IF(AM$4&lt;Packages!$K$7,"",IF(AM$4&lt;=EOMONTH(Packages!$K$7,Packages!$L$7-1),"D",IF(AM$4&lt;=EOMONTH(Packages!$K$7,Packages!$L$7+Packages!$M$7-1),"B",IF(AM$4&lt;=EOMONTH(Packages!$K$7,Packages!$L$7+Packages!$M$7+Packages!$N$7-1),"U",IF(AM$4&lt;=EOMONTH(Packages!$K$7,Packages!$L$7+Packages!$M$7+Packages!$N$7+Packages!$O$7-1),"G",IF(AM$4&lt;=EOMONTH(Packages!$K$7,Packages!$L$7+Packages!$M$7+Packages!$N$7+Packages!$O$7+Packages!$P$7-1),"S",""))))))</f>
        <v/>
      </c>
      <c r="AN6" s="57" t="str">
        <f>IF(AN$4&lt;Packages!$K$7,"",IF(AN$4&lt;=EOMONTH(Packages!$K$7,Packages!$L$7-1),"D",IF(AN$4&lt;=EOMONTH(Packages!$K$7,Packages!$L$7+Packages!$M$7-1),"B",IF(AN$4&lt;=EOMONTH(Packages!$K$7,Packages!$L$7+Packages!$M$7+Packages!$N$7-1),"U",IF(AN$4&lt;=EOMONTH(Packages!$K$7,Packages!$L$7+Packages!$M$7+Packages!$N$7+Packages!$O$7-1),"G",IF(AN$4&lt;=EOMONTH(Packages!$K$7,Packages!$L$7+Packages!$M$7+Packages!$N$7+Packages!$O$7+Packages!$P$7-1),"S",""))))))</f>
        <v/>
      </c>
      <c r="AO6" s="57" t="str">
        <f>IF(AO$4&lt;Packages!$K$7,"",IF(AO$4&lt;=EOMONTH(Packages!$K$7,Packages!$L$7-1),"D",IF(AO$4&lt;=EOMONTH(Packages!$K$7,Packages!$L$7+Packages!$M$7-1),"B",IF(AO$4&lt;=EOMONTH(Packages!$K$7,Packages!$L$7+Packages!$M$7+Packages!$N$7-1),"U",IF(AO$4&lt;=EOMONTH(Packages!$K$7,Packages!$L$7+Packages!$M$7+Packages!$N$7+Packages!$O$7-1),"G",IF(AO$4&lt;=EOMONTH(Packages!$K$7,Packages!$L$7+Packages!$M$7+Packages!$N$7+Packages!$O$7+Packages!$P$7-1),"S",""))))))</f>
        <v/>
      </c>
    </row>
    <row r="7" spans="1:41" ht="30" customHeight="1" x14ac:dyDescent="0.3">
      <c r="A7" s="9" t="str">
        <f>Packages!A8</f>
        <v>WP3</v>
      </c>
      <c r="B7" s="10" t="str">
        <f>Packages!B8</f>
        <v>Laboratory testing (Chemical, Physical, Energy Meter) and PCR services</v>
      </c>
      <c r="C7" s="57" t="str">
        <f>IF(C$4&lt;Packages!$K$8,"",IF(C$4&lt;=EOMONTH(Packages!$K$8,Packages!$L$8-1),"D",IF(C$4&lt;=EOMONTH(Packages!$K$8,Packages!$L$8+Packages!$M$8-1),"B",IF(C$4&lt;=EOMONTH(Packages!$K$8,Packages!$L$8+Packages!$M$8+Packages!$N$8-1),"U",IF(C$4&lt;=EOMONTH(Packages!$K$8,Packages!$L$8+Packages!$M$8+Packages!$N$8+Packages!$O$8-1),"G",IF(C$4&lt;=EOMONTH(Packages!$K$8,Packages!$L$8+Packages!$M$8+Packages!$N$8+Packages!$O$8+Packages!$P$8-1),"S",""))))))</f>
        <v/>
      </c>
      <c r="D7" s="57" t="str">
        <f>IF(D$4&lt;Packages!$K$8,"",IF(D$4&lt;=EOMONTH(Packages!$K$8,Packages!$L$8-1),"D",IF(D$4&lt;=EOMONTH(Packages!$K$8,Packages!$L$8+Packages!$M$8-1),"B",IF(D$4&lt;=EOMONTH(Packages!$K$8,Packages!$L$8+Packages!$M$8+Packages!$N$8-1),"U",IF(D$4&lt;=EOMONTH(Packages!$K$8,Packages!$L$8+Packages!$M$8+Packages!$N$8+Packages!$O$8-1),"G",IF(D$4&lt;=EOMONTH(Packages!$K$8,Packages!$L$8+Packages!$M$8+Packages!$N$8+Packages!$O$8+Packages!$P$8-1),"S",""))))))</f>
        <v>D</v>
      </c>
      <c r="E7" s="57" t="str">
        <f>IF(E$4&lt;Packages!$K$8,"",IF(E$4&lt;=EOMONTH(Packages!$K$8,Packages!$L$8-1),"D",IF(E$4&lt;=EOMONTH(Packages!$K$8,Packages!$L$8+Packages!$M$8-1),"B",IF(E$4&lt;=EOMONTH(Packages!$K$8,Packages!$L$8+Packages!$M$8+Packages!$N$8-1),"U",IF(E$4&lt;=EOMONTH(Packages!$K$8,Packages!$L$8+Packages!$M$8+Packages!$N$8+Packages!$O$8-1),"G",IF(E$4&lt;=EOMONTH(Packages!$K$8,Packages!$L$8+Packages!$M$8+Packages!$N$8+Packages!$O$8+Packages!$P$8-1),"S",""))))))</f>
        <v>D</v>
      </c>
      <c r="F7" s="57" t="str">
        <f>IF(F$4&lt;Packages!$K$8,"",IF(F$4&lt;=EOMONTH(Packages!$K$8,Packages!$L$8-1),"D",IF(F$4&lt;=EOMONTH(Packages!$K$8,Packages!$L$8+Packages!$M$8-1),"B",IF(F$4&lt;=EOMONTH(Packages!$K$8,Packages!$L$8+Packages!$M$8+Packages!$N$8-1),"U",IF(F$4&lt;=EOMONTH(Packages!$K$8,Packages!$L$8+Packages!$M$8+Packages!$N$8+Packages!$O$8-1),"G",IF(F$4&lt;=EOMONTH(Packages!$K$8,Packages!$L$8+Packages!$M$8+Packages!$N$8+Packages!$O$8+Packages!$P$8-1),"S",""))))))</f>
        <v>B</v>
      </c>
      <c r="G7" s="57" t="str">
        <f>IF(G$4&lt;Packages!$K$8,"",IF(G$4&lt;=EOMONTH(Packages!$K$8,Packages!$L$8-1),"D",IF(G$4&lt;=EOMONTH(Packages!$K$8,Packages!$L$8+Packages!$M$8-1),"B",IF(G$4&lt;=EOMONTH(Packages!$K$8,Packages!$L$8+Packages!$M$8+Packages!$N$8-1),"U",IF(G$4&lt;=EOMONTH(Packages!$K$8,Packages!$L$8+Packages!$M$8+Packages!$N$8+Packages!$O$8-1),"G",IF(G$4&lt;=EOMONTH(Packages!$K$8,Packages!$L$8+Packages!$M$8+Packages!$N$8+Packages!$O$8+Packages!$P$8-1),"S",""))))))</f>
        <v>B</v>
      </c>
      <c r="H7" s="57" t="str">
        <f>IF(H$4&lt;Packages!$K$8,"",IF(H$4&lt;=EOMONTH(Packages!$K$8,Packages!$L$8-1),"D",IF(H$4&lt;=EOMONTH(Packages!$K$8,Packages!$L$8+Packages!$M$8-1),"B",IF(H$4&lt;=EOMONTH(Packages!$K$8,Packages!$L$8+Packages!$M$8+Packages!$N$8-1),"U",IF(H$4&lt;=EOMONTH(Packages!$K$8,Packages!$L$8+Packages!$M$8+Packages!$N$8+Packages!$O$8-1),"G",IF(H$4&lt;=EOMONTH(Packages!$K$8,Packages!$L$8+Packages!$M$8+Packages!$N$8+Packages!$O$8+Packages!$P$8-1),"S",""))))))</f>
        <v>B</v>
      </c>
      <c r="I7" s="57" t="str">
        <f>IF(I$4&lt;Packages!$K$8,"",IF(I$4&lt;=EOMONTH(Packages!$K$8,Packages!$L$8-1),"D",IF(I$4&lt;=EOMONTH(Packages!$K$8,Packages!$L$8+Packages!$M$8-1),"B",IF(I$4&lt;=EOMONTH(Packages!$K$8,Packages!$L$8+Packages!$M$8+Packages!$N$8-1),"U",IF(I$4&lt;=EOMONTH(Packages!$K$8,Packages!$L$8+Packages!$M$8+Packages!$N$8+Packages!$O$8-1),"G",IF(I$4&lt;=EOMONTH(Packages!$K$8,Packages!$L$8+Packages!$M$8+Packages!$N$8+Packages!$O$8+Packages!$P$8-1),"S",""))))))</f>
        <v>B</v>
      </c>
      <c r="J7" s="57" t="str">
        <f>IF(J$4&lt;Packages!$K$8,"",IF(J$4&lt;=EOMONTH(Packages!$K$8,Packages!$L$8-1),"D",IF(J$4&lt;=EOMONTH(Packages!$K$8,Packages!$L$8+Packages!$M$8-1),"B",IF(J$4&lt;=EOMONTH(Packages!$K$8,Packages!$L$8+Packages!$M$8+Packages!$N$8-1),"U",IF(J$4&lt;=EOMONTH(Packages!$K$8,Packages!$L$8+Packages!$M$8+Packages!$N$8+Packages!$O$8-1),"G",IF(J$4&lt;=EOMONTH(Packages!$K$8,Packages!$L$8+Packages!$M$8+Packages!$N$8+Packages!$O$8+Packages!$P$8-1),"S",""))))))</f>
        <v>B</v>
      </c>
      <c r="K7" s="57" t="str">
        <f>IF(K$4&lt;Packages!$K$8,"",IF(K$4&lt;=EOMONTH(Packages!$K$8,Packages!$L$8-1),"D",IF(K$4&lt;=EOMONTH(Packages!$K$8,Packages!$L$8+Packages!$M$8-1),"B",IF(K$4&lt;=EOMONTH(Packages!$K$8,Packages!$L$8+Packages!$M$8+Packages!$N$8-1),"U",IF(K$4&lt;=EOMONTH(Packages!$K$8,Packages!$L$8+Packages!$M$8+Packages!$N$8+Packages!$O$8-1),"G",IF(K$4&lt;=EOMONTH(Packages!$K$8,Packages!$L$8+Packages!$M$8+Packages!$N$8+Packages!$O$8+Packages!$P$8-1),"S",""))))))</f>
        <v>B</v>
      </c>
      <c r="L7" s="57" t="str">
        <f>IF(L$4&lt;Packages!$K$8,"",IF(L$4&lt;=EOMONTH(Packages!$K$8,Packages!$L$8-1),"D",IF(L$4&lt;=EOMONTH(Packages!$K$8,Packages!$L$8+Packages!$M$8-1),"B",IF(L$4&lt;=EOMONTH(Packages!$K$8,Packages!$L$8+Packages!$M$8+Packages!$N$8-1),"U",IF(L$4&lt;=EOMONTH(Packages!$K$8,Packages!$L$8+Packages!$M$8+Packages!$N$8+Packages!$O$8-1),"G",IF(L$4&lt;=EOMONTH(Packages!$K$8,Packages!$L$8+Packages!$M$8+Packages!$N$8+Packages!$O$8+Packages!$P$8-1),"S",""))))))</f>
        <v>U</v>
      </c>
      <c r="M7" s="57" t="str">
        <f>IF(M$4&lt;Packages!$K$8,"",IF(M$4&lt;=EOMONTH(Packages!$K$8,Packages!$L$8-1),"D",IF(M$4&lt;=EOMONTH(Packages!$K$8,Packages!$L$8+Packages!$M$8-1),"B",IF(M$4&lt;=EOMONTH(Packages!$K$8,Packages!$L$8+Packages!$M$8+Packages!$N$8-1),"U",IF(M$4&lt;=EOMONTH(Packages!$K$8,Packages!$L$8+Packages!$M$8+Packages!$N$8+Packages!$O$8-1),"G",IF(M$4&lt;=EOMONTH(Packages!$K$8,Packages!$L$8+Packages!$M$8+Packages!$N$8+Packages!$O$8+Packages!$P$8-1),"S",""))))))</f>
        <v>G</v>
      </c>
      <c r="N7" s="57" t="str">
        <f>IF(N$4&lt;Packages!$K$8,"",IF(N$4&lt;=EOMONTH(Packages!$K$8,Packages!$L$8-1),"D",IF(N$4&lt;=EOMONTH(Packages!$K$8,Packages!$L$8+Packages!$M$8-1),"B",IF(N$4&lt;=EOMONTH(Packages!$K$8,Packages!$L$8+Packages!$M$8+Packages!$N$8-1),"U",IF(N$4&lt;=EOMONTH(Packages!$K$8,Packages!$L$8+Packages!$M$8+Packages!$N$8+Packages!$O$8-1),"G",IF(N$4&lt;=EOMONTH(Packages!$K$8,Packages!$L$8+Packages!$M$8+Packages!$N$8+Packages!$O$8+Packages!$P$8-1),"S",""))))))</f>
        <v>S</v>
      </c>
      <c r="O7" s="57" t="str">
        <f>IF(O$4&lt;Packages!$K$8,"",IF(O$4&lt;=EOMONTH(Packages!$K$8,Packages!$L$8-1),"D",IF(O$4&lt;=EOMONTH(Packages!$K$8,Packages!$L$8+Packages!$M$8-1),"B",IF(O$4&lt;=EOMONTH(Packages!$K$8,Packages!$L$8+Packages!$M$8+Packages!$N$8-1),"U",IF(O$4&lt;=EOMONTH(Packages!$K$8,Packages!$L$8+Packages!$M$8+Packages!$N$8+Packages!$O$8-1),"G",IF(O$4&lt;=EOMONTH(Packages!$K$8,Packages!$L$8+Packages!$M$8+Packages!$N$8+Packages!$O$8+Packages!$P$8-1),"S",""))))))</f>
        <v>S</v>
      </c>
      <c r="P7" s="57" t="str">
        <f>IF(P$4&lt;Packages!$K$8,"",IF(P$4&lt;=EOMONTH(Packages!$K$8,Packages!$L$8-1),"D",IF(P$4&lt;=EOMONTH(Packages!$K$8,Packages!$L$8+Packages!$M$8-1),"B",IF(P$4&lt;=EOMONTH(Packages!$K$8,Packages!$L$8+Packages!$M$8+Packages!$N$8-1),"U",IF(P$4&lt;=EOMONTH(Packages!$K$8,Packages!$L$8+Packages!$M$8+Packages!$N$8+Packages!$O$8-1),"G",IF(P$4&lt;=EOMONTH(Packages!$K$8,Packages!$L$8+Packages!$M$8+Packages!$N$8+Packages!$O$8+Packages!$P$8-1),"S",""))))))</f>
        <v>S</v>
      </c>
      <c r="Q7" s="57" t="str">
        <f>IF(Q$4&lt;Packages!$K$8,"",IF(Q$4&lt;=EOMONTH(Packages!$K$8,Packages!$L$8-1),"D",IF(Q$4&lt;=EOMONTH(Packages!$K$8,Packages!$L$8+Packages!$M$8-1),"B",IF(Q$4&lt;=EOMONTH(Packages!$K$8,Packages!$L$8+Packages!$M$8+Packages!$N$8-1),"U",IF(Q$4&lt;=EOMONTH(Packages!$K$8,Packages!$L$8+Packages!$M$8+Packages!$N$8+Packages!$O$8-1),"G",IF(Q$4&lt;=EOMONTH(Packages!$K$8,Packages!$L$8+Packages!$M$8+Packages!$N$8+Packages!$O$8+Packages!$P$8-1),"S",""))))))</f>
        <v/>
      </c>
      <c r="R7" s="57" t="str">
        <f>IF(R$4&lt;Packages!$K$8,"",IF(R$4&lt;=EOMONTH(Packages!$K$8,Packages!$L$8-1),"D",IF(R$4&lt;=EOMONTH(Packages!$K$8,Packages!$L$8+Packages!$M$8-1),"B",IF(R$4&lt;=EOMONTH(Packages!$K$8,Packages!$L$8+Packages!$M$8+Packages!$N$8-1),"U",IF(R$4&lt;=EOMONTH(Packages!$K$8,Packages!$L$8+Packages!$M$8+Packages!$N$8+Packages!$O$8-1),"G",IF(R$4&lt;=EOMONTH(Packages!$K$8,Packages!$L$8+Packages!$M$8+Packages!$N$8+Packages!$O$8+Packages!$P$8-1),"S",""))))))</f>
        <v/>
      </c>
      <c r="S7" s="57" t="str">
        <f>IF(S$4&lt;Packages!$K$8,"",IF(S$4&lt;=EOMONTH(Packages!$K$8,Packages!$L$8-1),"D",IF(S$4&lt;=EOMONTH(Packages!$K$8,Packages!$L$8+Packages!$M$8-1),"B",IF(S$4&lt;=EOMONTH(Packages!$K$8,Packages!$L$8+Packages!$M$8+Packages!$N$8-1),"U",IF(S$4&lt;=EOMONTH(Packages!$K$8,Packages!$L$8+Packages!$M$8+Packages!$N$8+Packages!$O$8-1),"G",IF(S$4&lt;=EOMONTH(Packages!$K$8,Packages!$L$8+Packages!$M$8+Packages!$N$8+Packages!$O$8+Packages!$P$8-1),"S",""))))))</f>
        <v/>
      </c>
      <c r="T7" s="57" t="str">
        <f>IF(T$4&lt;Packages!$K$8,"",IF(T$4&lt;=EOMONTH(Packages!$K$8,Packages!$L$8-1),"D",IF(T$4&lt;=EOMONTH(Packages!$K$8,Packages!$L$8+Packages!$M$8-1),"B",IF(T$4&lt;=EOMONTH(Packages!$K$8,Packages!$L$8+Packages!$M$8+Packages!$N$8-1),"U",IF(T$4&lt;=EOMONTH(Packages!$K$8,Packages!$L$8+Packages!$M$8+Packages!$N$8+Packages!$O$8-1),"G",IF(T$4&lt;=EOMONTH(Packages!$K$8,Packages!$L$8+Packages!$M$8+Packages!$N$8+Packages!$O$8+Packages!$P$8-1),"S",""))))))</f>
        <v/>
      </c>
      <c r="U7" s="57" t="str">
        <f>IF(U$4&lt;Packages!$K$8,"",IF(U$4&lt;=EOMONTH(Packages!$K$8,Packages!$L$8-1),"D",IF(U$4&lt;=EOMONTH(Packages!$K$8,Packages!$L$8+Packages!$M$8-1),"B",IF(U$4&lt;=EOMONTH(Packages!$K$8,Packages!$L$8+Packages!$M$8+Packages!$N$8-1),"U",IF(U$4&lt;=EOMONTH(Packages!$K$8,Packages!$L$8+Packages!$M$8+Packages!$N$8+Packages!$O$8-1),"G",IF(U$4&lt;=EOMONTH(Packages!$K$8,Packages!$L$8+Packages!$M$8+Packages!$N$8+Packages!$O$8+Packages!$P$8-1),"S",""))))))</f>
        <v/>
      </c>
      <c r="V7" s="57" t="str">
        <f>IF(V$4&lt;Packages!$K$8,"",IF(V$4&lt;=EOMONTH(Packages!$K$8,Packages!$L$8-1),"D",IF(V$4&lt;=EOMONTH(Packages!$K$8,Packages!$L$8+Packages!$M$8-1),"B",IF(V$4&lt;=EOMONTH(Packages!$K$8,Packages!$L$8+Packages!$M$8+Packages!$N$8-1),"U",IF(V$4&lt;=EOMONTH(Packages!$K$8,Packages!$L$8+Packages!$M$8+Packages!$N$8+Packages!$O$8-1),"G",IF(V$4&lt;=EOMONTH(Packages!$K$8,Packages!$L$8+Packages!$M$8+Packages!$N$8+Packages!$O$8+Packages!$P$8-1),"S",""))))))</f>
        <v/>
      </c>
      <c r="W7" s="57" t="str">
        <f>IF(W$4&lt;Packages!$K$8,"",IF(W$4&lt;=EOMONTH(Packages!$K$8,Packages!$L$8-1),"D",IF(W$4&lt;=EOMONTH(Packages!$K$8,Packages!$L$8+Packages!$M$8-1),"B",IF(W$4&lt;=EOMONTH(Packages!$K$8,Packages!$L$8+Packages!$M$8+Packages!$N$8-1),"U",IF(W$4&lt;=EOMONTH(Packages!$K$8,Packages!$L$8+Packages!$M$8+Packages!$N$8+Packages!$O$8-1),"G",IF(W$4&lt;=EOMONTH(Packages!$K$8,Packages!$L$8+Packages!$M$8+Packages!$N$8+Packages!$O$8+Packages!$P$8-1),"S",""))))))</f>
        <v/>
      </c>
      <c r="X7" s="57" t="str">
        <f>IF(X$4&lt;Packages!$K$8,"",IF(X$4&lt;=EOMONTH(Packages!$K$8,Packages!$L$8-1),"D",IF(X$4&lt;=EOMONTH(Packages!$K$8,Packages!$L$8+Packages!$M$8-1),"B",IF(X$4&lt;=EOMONTH(Packages!$K$8,Packages!$L$8+Packages!$M$8+Packages!$N$8-1),"U",IF(X$4&lt;=EOMONTH(Packages!$K$8,Packages!$L$8+Packages!$M$8+Packages!$N$8+Packages!$O$8-1),"G",IF(X$4&lt;=EOMONTH(Packages!$K$8,Packages!$L$8+Packages!$M$8+Packages!$N$8+Packages!$O$8+Packages!$P$8-1),"S",""))))))</f>
        <v/>
      </c>
      <c r="Y7" s="57" t="str">
        <f>IF(Y$4&lt;Packages!$K$8,"",IF(Y$4&lt;=EOMONTH(Packages!$K$8,Packages!$L$8-1),"D",IF(Y$4&lt;=EOMONTH(Packages!$K$8,Packages!$L$8+Packages!$M$8-1),"B",IF(Y$4&lt;=EOMONTH(Packages!$K$8,Packages!$L$8+Packages!$M$8+Packages!$N$8-1),"U",IF(Y$4&lt;=EOMONTH(Packages!$K$8,Packages!$L$8+Packages!$M$8+Packages!$N$8+Packages!$O$8-1),"G",IF(Y$4&lt;=EOMONTH(Packages!$K$8,Packages!$L$8+Packages!$M$8+Packages!$N$8+Packages!$O$8+Packages!$P$8-1),"S",""))))))</f>
        <v/>
      </c>
      <c r="Z7" s="57" t="str">
        <f>IF(Z$4&lt;Packages!$K$8,"",IF(Z$4&lt;=EOMONTH(Packages!$K$8,Packages!$L$8-1),"D",IF(Z$4&lt;=EOMONTH(Packages!$K$8,Packages!$L$8+Packages!$M$8-1),"B",IF(Z$4&lt;=EOMONTH(Packages!$K$8,Packages!$L$8+Packages!$M$8+Packages!$N$8-1),"U",IF(Z$4&lt;=EOMONTH(Packages!$K$8,Packages!$L$8+Packages!$M$8+Packages!$N$8+Packages!$O$8-1),"G",IF(Z$4&lt;=EOMONTH(Packages!$K$8,Packages!$L$8+Packages!$M$8+Packages!$N$8+Packages!$O$8+Packages!$P$8-1),"S",""))))))</f>
        <v/>
      </c>
      <c r="AA7" s="57" t="str">
        <f>IF(AA$4&lt;Packages!$K$8,"",IF(AA$4&lt;=EOMONTH(Packages!$K$8,Packages!$L$8-1),"D",IF(AA$4&lt;=EOMONTH(Packages!$K$8,Packages!$L$8+Packages!$M$8-1),"B",IF(AA$4&lt;=EOMONTH(Packages!$K$8,Packages!$L$8+Packages!$M$8+Packages!$N$8-1),"U",IF(AA$4&lt;=EOMONTH(Packages!$K$8,Packages!$L$8+Packages!$M$8+Packages!$N$8+Packages!$O$8-1),"G",IF(AA$4&lt;=EOMONTH(Packages!$K$8,Packages!$L$8+Packages!$M$8+Packages!$N$8+Packages!$O$8+Packages!$P$8-1),"S",""))))))</f>
        <v/>
      </c>
      <c r="AB7" s="57" t="str">
        <f>IF(AB$4&lt;Packages!$K$8,"",IF(AB$4&lt;=EOMONTH(Packages!$K$8,Packages!$L$8-1),"D",IF(AB$4&lt;=EOMONTH(Packages!$K$8,Packages!$L$8+Packages!$M$8-1),"B",IF(AB$4&lt;=EOMONTH(Packages!$K$8,Packages!$L$8+Packages!$M$8+Packages!$N$8-1),"U",IF(AB$4&lt;=EOMONTH(Packages!$K$8,Packages!$L$8+Packages!$M$8+Packages!$N$8+Packages!$O$8-1),"G",IF(AB$4&lt;=EOMONTH(Packages!$K$8,Packages!$L$8+Packages!$M$8+Packages!$N$8+Packages!$O$8+Packages!$P$8-1),"S",""))))))</f>
        <v/>
      </c>
      <c r="AC7" s="57" t="str">
        <f>IF(AC$4&lt;Packages!$K$8,"",IF(AC$4&lt;=EOMONTH(Packages!$K$8,Packages!$L$8-1),"D",IF(AC$4&lt;=EOMONTH(Packages!$K$8,Packages!$L$8+Packages!$M$8-1),"B",IF(AC$4&lt;=EOMONTH(Packages!$K$8,Packages!$L$8+Packages!$M$8+Packages!$N$8-1),"U",IF(AC$4&lt;=EOMONTH(Packages!$K$8,Packages!$L$8+Packages!$M$8+Packages!$N$8+Packages!$O$8-1),"G",IF(AC$4&lt;=EOMONTH(Packages!$K$8,Packages!$L$8+Packages!$M$8+Packages!$N$8+Packages!$O$8+Packages!$P$8-1),"S",""))))))</f>
        <v/>
      </c>
      <c r="AD7" s="57" t="str">
        <f>IF(AD$4&lt;Packages!$K$8,"",IF(AD$4&lt;=EOMONTH(Packages!$K$8,Packages!$L$8-1),"D",IF(AD$4&lt;=EOMONTH(Packages!$K$8,Packages!$L$8+Packages!$M$8-1),"B",IF(AD$4&lt;=EOMONTH(Packages!$K$8,Packages!$L$8+Packages!$M$8+Packages!$N$8-1),"U",IF(AD$4&lt;=EOMONTH(Packages!$K$8,Packages!$L$8+Packages!$M$8+Packages!$N$8+Packages!$O$8-1),"G",IF(AD$4&lt;=EOMONTH(Packages!$K$8,Packages!$L$8+Packages!$M$8+Packages!$N$8+Packages!$O$8+Packages!$P$8-1),"S",""))))))</f>
        <v/>
      </c>
      <c r="AE7" s="57" t="str">
        <f>IF(AE$4&lt;Packages!$K$8,"",IF(AE$4&lt;=EOMONTH(Packages!$K$8,Packages!$L$8-1),"D",IF(AE$4&lt;=EOMONTH(Packages!$K$8,Packages!$L$8+Packages!$M$8-1),"B",IF(AE$4&lt;=EOMONTH(Packages!$K$8,Packages!$L$8+Packages!$M$8+Packages!$N$8-1),"U",IF(AE$4&lt;=EOMONTH(Packages!$K$8,Packages!$L$8+Packages!$M$8+Packages!$N$8+Packages!$O$8-1),"G",IF(AE$4&lt;=EOMONTH(Packages!$K$8,Packages!$L$8+Packages!$M$8+Packages!$N$8+Packages!$O$8+Packages!$P$8-1),"S",""))))))</f>
        <v/>
      </c>
      <c r="AF7" s="57" t="str">
        <f>IF(AF$4&lt;Packages!$K$8,"",IF(AF$4&lt;=EOMONTH(Packages!$K$8,Packages!$L$8-1),"D",IF(AF$4&lt;=EOMONTH(Packages!$K$8,Packages!$L$8+Packages!$M$8-1),"B",IF(AF$4&lt;=EOMONTH(Packages!$K$8,Packages!$L$8+Packages!$M$8+Packages!$N$8-1),"U",IF(AF$4&lt;=EOMONTH(Packages!$K$8,Packages!$L$8+Packages!$M$8+Packages!$N$8+Packages!$O$8-1),"G",IF(AF$4&lt;=EOMONTH(Packages!$K$8,Packages!$L$8+Packages!$M$8+Packages!$N$8+Packages!$O$8+Packages!$P$8-1),"S",""))))))</f>
        <v/>
      </c>
      <c r="AG7" s="57" t="str">
        <f>IF(AG$4&lt;Packages!$K$8,"",IF(AG$4&lt;=EOMONTH(Packages!$K$8,Packages!$L$8-1),"D",IF(AG$4&lt;=EOMONTH(Packages!$K$8,Packages!$L$8+Packages!$M$8-1),"B",IF(AG$4&lt;=EOMONTH(Packages!$K$8,Packages!$L$8+Packages!$M$8+Packages!$N$8-1),"U",IF(AG$4&lt;=EOMONTH(Packages!$K$8,Packages!$L$8+Packages!$M$8+Packages!$N$8+Packages!$O$8-1),"G",IF(AG$4&lt;=EOMONTH(Packages!$K$8,Packages!$L$8+Packages!$M$8+Packages!$N$8+Packages!$O$8+Packages!$P$8-1),"S",""))))))</f>
        <v/>
      </c>
      <c r="AH7" s="57" t="str">
        <f>IF(AH$4&lt;Packages!$K$8,"",IF(AH$4&lt;=EOMONTH(Packages!$K$8,Packages!$L$8-1),"D",IF(AH$4&lt;=EOMONTH(Packages!$K$8,Packages!$L$8+Packages!$M$8-1),"B",IF(AH$4&lt;=EOMONTH(Packages!$K$8,Packages!$L$8+Packages!$M$8+Packages!$N$8-1),"U",IF(AH$4&lt;=EOMONTH(Packages!$K$8,Packages!$L$8+Packages!$M$8+Packages!$N$8+Packages!$O$8-1),"G",IF(AH$4&lt;=EOMONTH(Packages!$K$8,Packages!$L$8+Packages!$M$8+Packages!$N$8+Packages!$O$8+Packages!$P$8-1),"S",""))))))</f>
        <v/>
      </c>
      <c r="AI7" s="57" t="str">
        <f>IF(AI$4&lt;Packages!$K$8,"",IF(AI$4&lt;=EOMONTH(Packages!$K$8,Packages!$L$8-1),"D",IF(AI$4&lt;=EOMONTH(Packages!$K$8,Packages!$L$8+Packages!$M$8-1),"B",IF(AI$4&lt;=EOMONTH(Packages!$K$8,Packages!$L$8+Packages!$M$8+Packages!$N$8-1),"U",IF(AI$4&lt;=EOMONTH(Packages!$K$8,Packages!$L$8+Packages!$M$8+Packages!$N$8+Packages!$O$8-1),"G",IF(AI$4&lt;=EOMONTH(Packages!$K$8,Packages!$L$8+Packages!$M$8+Packages!$N$8+Packages!$O$8+Packages!$P$8-1),"S",""))))))</f>
        <v/>
      </c>
      <c r="AJ7" s="57" t="str">
        <f>IF(AJ$4&lt;Packages!$K$8,"",IF(AJ$4&lt;=EOMONTH(Packages!$K$8,Packages!$L$8-1),"D",IF(AJ$4&lt;=EOMONTH(Packages!$K$8,Packages!$L$8+Packages!$M$8-1),"B",IF(AJ$4&lt;=EOMONTH(Packages!$K$8,Packages!$L$8+Packages!$M$8+Packages!$N$8-1),"U",IF(AJ$4&lt;=EOMONTH(Packages!$K$8,Packages!$L$8+Packages!$M$8+Packages!$N$8+Packages!$O$8-1),"G",IF(AJ$4&lt;=EOMONTH(Packages!$K$8,Packages!$L$8+Packages!$M$8+Packages!$N$8+Packages!$O$8+Packages!$P$8-1),"S",""))))))</f>
        <v/>
      </c>
      <c r="AK7" s="57" t="str">
        <f>IF(AK$4&lt;Packages!$K$8,"",IF(AK$4&lt;=EOMONTH(Packages!$K$8,Packages!$L$8-1),"D",IF(AK$4&lt;=EOMONTH(Packages!$K$8,Packages!$L$8+Packages!$M$8-1),"B",IF(AK$4&lt;=EOMONTH(Packages!$K$8,Packages!$L$8+Packages!$M$8+Packages!$N$8-1),"U",IF(AK$4&lt;=EOMONTH(Packages!$K$8,Packages!$L$8+Packages!$M$8+Packages!$N$8+Packages!$O$8-1),"G",IF(AK$4&lt;=EOMONTH(Packages!$K$8,Packages!$L$8+Packages!$M$8+Packages!$N$8+Packages!$O$8+Packages!$P$8-1),"S",""))))))</f>
        <v/>
      </c>
      <c r="AL7" s="57" t="str">
        <f>IF(AL$4&lt;Packages!$K$8,"",IF(AL$4&lt;=EOMONTH(Packages!$K$8,Packages!$L$8-1),"D",IF(AL$4&lt;=EOMONTH(Packages!$K$8,Packages!$L$8+Packages!$M$8-1),"B",IF(AL$4&lt;=EOMONTH(Packages!$K$8,Packages!$L$8+Packages!$M$8+Packages!$N$8-1),"U",IF(AL$4&lt;=EOMONTH(Packages!$K$8,Packages!$L$8+Packages!$M$8+Packages!$N$8+Packages!$O$8-1),"G",IF(AL$4&lt;=EOMONTH(Packages!$K$8,Packages!$L$8+Packages!$M$8+Packages!$N$8+Packages!$O$8+Packages!$P$8-1),"S",""))))))</f>
        <v/>
      </c>
      <c r="AM7" s="57" t="str">
        <f>IF(AM$4&lt;Packages!$K$8,"",IF(AM$4&lt;=EOMONTH(Packages!$K$8,Packages!$L$8-1),"D",IF(AM$4&lt;=EOMONTH(Packages!$K$8,Packages!$L$8+Packages!$M$8-1),"B",IF(AM$4&lt;=EOMONTH(Packages!$K$8,Packages!$L$8+Packages!$M$8+Packages!$N$8-1),"U",IF(AM$4&lt;=EOMONTH(Packages!$K$8,Packages!$L$8+Packages!$M$8+Packages!$N$8+Packages!$O$8-1),"G",IF(AM$4&lt;=EOMONTH(Packages!$K$8,Packages!$L$8+Packages!$M$8+Packages!$N$8+Packages!$O$8+Packages!$P$8-1),"S",""))))))</f>
        <v/>
      </c>
      <c r="AN7" s="57" t="str">
        <f>IF(AN$4&lt;Packages!$K$8,"",IF(AN$4&lt;=EOMONTH(Packages!$K$8,Packages!$L$8-1),"D",IF(AN$4&lt;=EOMONTH(Packages!$K$8,Packages!$L$8+Packages!$M$8-1),"B",IF(AN$4&lt;=EOMONTH(Packages!$K$8,Packages!$L$8+Packages!$M$8+Packages!$N$8-1),"U",IF(AN$4&lt;=EOMONTH(Packages!$K$8,Packages!$L$8+Packages!$M$8+Packages!$N$8+Packages!$O$8-1),"G",IF(AN$4&lt;=EOMONTH(Packages!$K$8,Packages!$L$8+Packages!$M$8+Packages!$N$8+Packages!$O$8+Packages!$P$8-1),"S",""))))))</f>
        <v/>
      </c>
      <c r="AO7" s="57" t="str">
        <f>IF(AO$4&lt;Packages!$K$8,"",IF(AO$4&lt;=EOMONTH(Packages!$K$8,Packages!$L$8-1),"D",IF(AO$4&lt;=EOMONTH(Packages!$K$8,Packages!$L$8+Packages!$M$8-1),"B",IF(AO$4&lt;=EOMONTH(Packages!$K$8,Packages!$L$8+Packages!$M$8+Packages!$N$8-1),"U",IF(AO$4&lt;=EOMONTH(Packages!$K$8,Packages!$L$8+Packages!$M$8+Packages!$N$8+Packages!$O$8-1),"G",IF(AO$4&lt;=EOMONTH(Packages!$K$8,Packages!$L$8+Packages!$M$8+Packages!$N$8+Packages!$O$8+Packages!$P$8-1),"S",""))))))</f>
        <v/>
      </c>
    </row>
    <row r="8" spans="1:41" ht="30" customHeight="1" x14ac:dyDescent="0.3">
      <c r="A8" s="9" t="str">
        <f>Packages!A9</f>
        <v>WP4</v>
      </c>
      <c r="B8" s="10" t="str">
        <f>Packages!B9</f>
        <v>Enforcement &amp; field metrology: Mobile Court, Surveillance, Verification, Tank Calibration, Metrology Licence, Storage Tank Calibration</v>
      </c>
      <c r="C8" s="57" t="str">
        <f>IF(C$4&lt;Packages!$K$9,"",IF(C$4&lt;=EOMONTH(Packages!$K$9,Packages!$L$9-1),"D",IF(C$4&lt;=EOMONTH(Packages!$K$9,Packages!$L$9+Packages!$M$9-1),"B",IF(C$4&lt;=EOMONTH(Packages!$K$9,Packages!$L$9+Packages!$M$9+Packages!$N$9-1),"U",IF(C$4&lt;=EOMONTH(Packages!$K$9,Packages!$L$9+Packages!$M$9+Packages!$N$9+Packages!$O$9-1),"G",IF(C$4&lt;=EOMONTH(Packages!$K$9,Packages!$L$9+Packages!$M$9+Packages!$N$9+Packages!$O$9+Packages!$P$9-1),"S",""))))))</f>
        <v/>
      </c>
      <c r="D8" s="57" t="str">
        <f>IF(D$4&lt;Packages!$K$9,"",IF(D$4&lt;=EOMONTH(Packages!$K$9,Packages!$L$9-1),"D",IF(D$4&lt;=EOMONTH(Packages!$K$9,Packages!$L$9+Packages!$M$9-1),"B",IF(D$4&lt;=EOMONTH(Packages!$K$9,Packages!$L$9+Packages!$M$9+Packages!$N$9-1),"U",IF(D$4&lt;=EOMONTH(Packages!$K$9,Packages!$L$9+Packages!$M$9+Packages!$N$9+Packages!$O$9-1),"G",IF(D$4&lt;=EOMONTH(Packages!$K$9,Packages!$L$9+Packages!$M$9+Packages!$N$9+Packages!$O$9+Packages!$P$9-1),"S",""))))))</f>
        <v/>
      </c>
      <c r="E8" s="57" t="str">
        <f>IF(E$4&lt;Packages!$K$9,"",IF(E$4&lt;=EOMONTH(Packages!$K$9,Packages!$L$9-1),"D",IF(E$4&lt;=EOMONTH(Packages!$K$9,Packages!$L$9+Packages!$M$9-1),"B",IF(E$4&lt;=EOMONTH(Packages!$K$9,Packages!$L$9+Packages!$M$9+Packages!$N$9-1),"U",IF(E$4&lt;=EOMONTH(Packages!$K$9,Packages!$L$9+Packages!$M$9+Packages!$N$9+Packages!$O$9-1),"G",IF(E$4&lt;=EOMONTH(Packages!$K$9,Packages!$L$9+Packages!$M$9+Packages!$N$9+Packages!$O$9+Packages!$P$9-1),"S",""))))))</f>
        <v/>
      </c>
      <c r="F8" s="57" t="str">
        <f>IF(F$4&lt;Packages!$K$9,"",IF(F$4&lt;=EOMONTH(Packages!$K$9,Packages!$L$9-1),"D",IF(F$4&lt;=EOMONTH(Packages!$K$9,Packages!$L$9+Packages!$M$9-1),"B",IF(F$4&lt;=EOMONTH(Packages!$K$9,Packages!$L$9+Packages!$M$9+Packages!$N$9-1),"U",IF(F$4&lt;=EOMONTH(Packages!$K$9,Packages!$L$9+Packages!$M$9+Packages!$N$9+Packages!$O$9-1),"G",IF(F$4&lt;=EOMONTH(Packages!$K$9,Packages!$L$9+Packages!$M$9+Packages!$N$9+Packages!$O$9+Packages!$P$9-1),"S",""))))))</f>
        <v/>
      </c>
      <c r="G8" s="57" t="str">
        <f>IF(G$4&lt;Packages!$K$9,"",IF(G$4&lt;=EOMONTH(Packages!$K$9,Packages!$L$9-1),"D",IF(G$4&lt;=EOMONTH(Packages!$K$9,Packages!$L$9+Packages!$M$9-1),"B",IF(G$4&lt;=EOMONTH(Packages!$K$9,Packages!$L$9+Packages!$M$9+Packages!$N$9-1),"U",IF(G$4&lt;=EOMONTH(Packages!$K$9,Packages!$L$9+Packages!$M$9+Packages!$N$9+Packages!$O$9-1),"G",IF(G$4&lt;=EOMONTH(Packages!$K$9,Packages!$L$9+Packages!$M$9+Packages!$N$9+Packages!$O$9+Packages!$P$9-1),"S",""))))))</f>
        <v/>
      </c>
      <c r="H8" s="57" t="str">
        <f>IF(H$4&lt;Packages!$K$9,"",IF(H$4&lt;=EOMONTH(Packages!$K$9,Packages!$L$9-1),"D",IF(H$4&lt;=EOMONTH(Packages!$K$9,Packages!$L$9+Packages!$M$9-1),"B",IF(H$4&lt;=EOMONTH(Packages!$K$9,Packages!$L$9+Packages!$M$9+Packages!$N$9-1),"U",IF(H$4&lt;=EOMONTH(Packages!$K$9,Packages!$L$9+Packages!$M$9+Packages!$N$9+Packages!$O$9-1),"G",IF(H$4&lt;=EOMONTH(Packages!$K$9,Packages!$L$9+Packages!$M$9+Packages!$N$9+Packages!$O$9+Packages!$P$9-1),"S",""))))))</f>
        <v/>
      </c>
      <c r="I8" s="57" t="str">
        <f>IF(I$4&lt;Packages!$K$9,"",IF(I$4&lt;=EOMONTH(Packages!$K$9,Packages!$L$9-1),"D",IF(I$4&lt;=EOMONTH(Packages!$K$9,Packages!$L$9+Packages!$M$9-1),"B",IF(I$4&lt;=EOMONTH(Packages!$K$9,Packages!$L$9+Packages!$M$9+Packages!$N$9-1),"U",IF(I$4&lt;=EOMONTH(Packages!$K$9,Packages!$L$9+Packages!$M$9+Packages!$N$9+Packages!$O$9-1),"G",IF(I$4&lt;=EOMONTH(Packages!$K$9,Packages!$L$9+Packages!$M$9+Packages!$N$9+Packages!$O$9+Packages!$P$9-1),"S",""))))))</f>
        <v/>
      </c>
      <c r="J8" s="57" t="str">
        <f>IF(J$4&lt;Packages!$K$9,"",IF(J$4&lt;=EOMONTH(Packages!$K$9,Packages!$L$9-1),"D",IF(J$4&lt;=EOMONTH(Packages!$K$9,Packages!$L$9+Packages!$M$9-1),"B",IF(J$4&lt;=EOMONTH(Packages!$K$9,Packages!$L$9+Packages!$M$9+Packages!$N$9-1),"U",IF(J$4&lt;=EOMONTH(Packages!$K$9,Packages!$L$9+Packages!$M$9+Packages!$N$9+Packages!$O$9-1),"G",IF(J$4&lt;=EOMONTH(Packages!$K$9,Packages!$L$9+Packages!$M$9+Packages!$N$9+Packages!$O$9+Packages!$P$9-1),"S",""))))))</f>
        <v/>
      </c>
      <c r="K8" s="57" t="str">
        <f>IF(K$4&lt;Packages!$K$9,"",IF(K$4&lt;=EOMONTH(Packages!$K$9,Packages!$L$9-1),"D",IF(K$4&lt;=EOMONTH(Packages!$K$9,Packages!$L$9+Packages!$M$9-1),"B",IF(K$4&lt;=EOMONTH(Packages!$K$9,Packages!$L$9+Packages!$M$9+Packages!$N$9-1),"U",IF(K$4&lt;=EOMONTH(Packages!$K$9,Packages!$L$9+Packages!$M$9+Packages!$N$9+Packages!$O$9-1),"G",IF(K$4&lt;=EOMONTH(Packages!$K$9,Packages!$L$9+Packages!$M$9+Packages!$N$9+Packages!$O$9+Packages!$P$9-1),"S",""))))))</f>
        <v/>
      </c>
      <c r="L8" s="57" t="str">
        <f>IF(L$4&lt;Packages!$K$9,"",IF(L$4&lt;=EOMONTH(Packages!$K$9,Packages!$L$9-1),"D",IF(L$4&lt;=EOMONTH(Packages!$K$9,Packages!$L$9+Packages!$M$9-1),"B",IF(L$4&lt;=EOMONTH(Packages!$K$9,Packages!$L$9+Packages!$M$9+Packages!$N$9-1),"U",IF(L$4&lt;=EOMONTH(Packages!$K$9,Packages!$L$9+Packages!$M$9+Packages!$N$9+Packages!$O$9-1),"G",IF(L$4&lt;=EOMONTH(Packages!$K$9,Packages!$L$9+Packages!$M$9+Packages!$N$9+Packages!$O$9+Packages!$P$9-1),"S",""))))))</f>
        <v/>
      </c>
      <c r="M8" s="57" t="str">
        <f>IF(M$4&lt;Packages!$K$9,"",IF(M$4&lt;=EOMONTH(Packages!$K$9,Packages!$L$9-1),"D",IF(M$4&lt;=EOMONTH(Packages!$K$9,Packages!$L$9+Packages!$M$9-1),"B",IF(M$4&lt;=EOMONTH(Packages!$K$9,Packages!$L$9+Packages!$M$9+Packages!$N$9-1),"U",IF(M$4&lt;=EOMONTH(Packages!$K$9,Packages!$L$9+Packages!$M$9+Packages!$N$9+Packages!$O$9-1),"G",IF(M$4&lt;=EOMONTH(Packages!$K$9,Packages!$L$9+Packages!$M$9+Packages!$N$9+Packages!$O$9+Packages!$P$9-1),"S",""))))))</f>
        <v/>
      </c>
      <c r="N8" s="57" t="str">
        <f>IF(N$4&lt;Packages!$K$9,"",IF(N$4&lt;=EOMONTH(Packages!$K$9,Packages!$L$9-1),"D",IF(N$4&lt;=EOMONTH(Packages!$K$9,Packages!$L$9+Packages!$M$9-1),"B",IF(N$4&lt;=EOMONTH(Packages!$K$9,Packages!$L$9+Packages!$M$9+Packages!$N$9-1),"U",IF(N$4&lt;=EOMONTH(Packages!$K$9,Packages!$L$9+Packages!$M$9+Packages!$N$9+Packages!$O$9-1),"G",IF(N$4&lt;=EOMONTH(Packages!$K$9,Packages!$L$9+Packages!$M$9+Packages!$N$9+Packages!$O$9+Packages!$P$9-1),"S",""))))))</f>
        <v/>
      </c>
      <c r="O8" s="57" t="str">
        <f>IF(O$4&lt;Packages!$K$9,"",IF(O$4&lt;=EOMONTH(Packages!$K$9,Packages!$L$9-1),"D",IF(O$4&lt;=EOMONTH(Packages!$K$9,Packages!$L$9+Packages!$M$9-1),"B",IF(O$4&lt;=EOMONTH(Packages!$K$9,Packages!$L$9+Packages!$M$9+Packages!$N$9-1),"U",IF(O$4&lt;=EOMONTH(Packages!$K$9,Packages!$L$9+Packages!$M$9+Packages!$N$9+Packages!$O$9-1),"G",IF(O$4&lt;=EOMONTH(Packages!$K$9,Packages!$L$9+Packages!$M$9+Packages!$N$9+Packages!$O$9+Packages!$P$9-1),"S",""))))))</f>
        <v/>
      </c>
      <c r="P8" s="57" t="str">
        <f>IF(P$4&lt;Packages!$K$9,"",IF(P$4&lt;=EOMONTH(Packages!$K$9,Packages!$L$9-1),"D",IF(P$4&lt;=EOMONTH(Packages!$K$9,Packages!$L$9+Packages!$M$9-1),"B",IF(P$4&lt;=EOMONTH(Packages!$K$9,Packages!$L$9+Packages!$M$9+Packages!$N$9-1),"U",IF(P$4&lt;=EOMONTH(Packages!$K$9,Packages!$L$9+Packages!$M$9+Packages!$N$9+Packages!$O$9-1),"G",IF(P$4&lt;=EOMONTH(Packages!$K$9,Packages!$L$9+Packages!$M$9+Packages!$N$9+Packages!$O$9+Packages!$P$9-1),"S",""))))))</f>
        <v/>
      </c>
      <c r="Q8" s="57" t="str">
        <f>IF(Q$4&lt;Packages!$K$9,"",IF(Q$4&lt;=EOMONTH(Packages!$K$9,Packages!$L$9-1),"D",IF(Q$4&lt;=EOMONTH(Packages!$K$9,Packages!$L$9+Packages!$M$9-1),"B",IF(Q$4&lt;=EOMONTH(Packages!$K$9,Packages!$L$9+Packages!$M$9+Packages!$N$9-1),"U",IF(Q$4&lt;=EOMONTH(Packages!$K$9,Packages!$L$9+Packages!$M$9+Packages!$N$9+Packages!$O$9-1),"G",IF(Q$4&lt;=EOMONTH(Packages!$K$9,Packages!$L$9+Packages!$M$9+Packages!$N$9+Packages!$O$9+Packages!$P$9-1),"S",""))))))</f>
        <v/>
      </c>
      <c r="R8" s="57" t="str">
        <f>IF(R$4&lt;Packages!$K$9,"",IF(R$4&lt;=EOMONTH(Packages!$K$9,Packages!$L$9-1),"D",IF(R$4&lt;=EOMONTH(Packages!$K$9,Packages!$L$9+Packages!$M$9-1),"B",IF(R$4&lt;=EOMONTH(Packages!$K$9,Packages!$L$9+Packages!$M$9+Packages!$N$9-1),"U",IF(R$4&lt;=EOMONTH(Packages!$K$9,Packages!$L$9+Packages!$M$9+Packages!$N$9+Packages!$O$9-1),"G",IF(R$4&lt;=EOMONTH(Packages!$K$9,Packages!$L$9+Packages!$M$9+Packages!$N$9+Packages!$O$9+Packages!$P$9-1),"S",""))))))</f>
        <v>D</v>
      </c>
      <c r="S8" s="57" t="str">
        <f>IF(S$4&lt;Packages!$K$9,"",IF(S$4&lt;=EOMONTH(Packages!$K$9,Packages!$L$9-1),"D",IF(S$4&lt;=EOMONTH(Packages!$K$9,Packages!$L$9+Packages!$M$9-1),"B",IF(S$4&lt;=EOMONTH(Packages!$K$9,Packages!$L$9+Packages!$M$9+Packages!$N$9-1),"U",IF(S$4&lt;=EOMONTH(Packages!$K$9,Packages!$L$9+Packages!$M$9+Packages!$N$9+Packages!$O$9-1),"G",IF(S$4&lt;=EOMONTH(Packages!$K$9,Packages!$L$9+Packages!$M$9+Packages!$N$9+Packages!$O$9+Packages!$P$9-1),"S",""))))))</f>
        <v>D</v>
      </c>
      <c r="T8" s="57" t="str">
        <f>IF(T$4&lt;Packages!$K$9,"",IF(T$4&lt;=EOMONTH(Packages!$K$9,Packages!$L$9-1),"D",IF(T$4&lt;=EOMONTH(Packages!$K$9,Packages!$L$9+Packages!$M$9-1),"B",IF(T$4&lt;=EOMONTH(Packages!$K$9,Packages!$L$9+Packages!$M$9+Packages!$N$9-1),"U",IF(T$4&lt;=EOMONTH(Packages!$K$9,Packages!$L$9+Packages!$M$9+Packages!$N$9+Packages!$O$9-1),"G",IF(T$4&lt;=EOMONTH(Packages!$K$9,Packages!$L$9+Packages!$M$9+Packages!$N$9+Packages!$O$9+Packages!$P$9-1),"S",""))))))</f>
        <v>B</v>
      </c>
      <c r="U8" s="57" t="str">
        <f>IF(U$4&lt;Packages!$K$9,"",IF(U$4&lt;=EOMONTH(Packages!$K$9,Packages!$L$9-1),"D",IF(U$4&lt;=EOMONTH(Packages!$K$9,Packages!$L$9+Packages!$M$9-1),"B",IF(U$4&lt;=EOMONTH(Packages!$K$9,Packages!$L$9+Packages!$M$9+Packages!$N$9-1),"U",IF(U$4&lt;=EOMONTH(Packages!$K$9,Packages!$L$9+Packages!$M$9+Packages!$N$9+Packages!$O$9-1),"G",IF(U$4&lt;=EOMONTH(Packages!$K$9,Packages!$L$9+Packages!$M$9+Packages!$N$9+Packages!$O$9+Packages!$P$9-1),"S",""))))))</f>
        <v>B</v>
      </c>
      <c r="V8" s="57" t="str">
        <f>IF(V$4&lt;Packages!$K$9,"",IF(V$4&lt;=EOMONTH(Packages!$K$9,Packages!$L$9-1),"D",IF(V$4&lt;=EOMONTH(Packages!$K$9,Packages!$L$9+Packages!$M$9-1),"B",IF(V$4&lt;=EOMONTH(Packages!$K$9,Packages!$L$9+Packages!$M$9+Packages!$N$9-1),"U",IF(V$4&lt;=EOMONTH(Packages!$K$9,Packages!$L$9+Packages!$M$9+Packages!$N$9+Packages!$O$9-1),"G",IF(V$4&lt;=EOMONTH(Packages!$K$9,Packages!$L$9+Packages!$M$9+Packages!$N$9+Packages!$O$9+Packages!$P$9-1),"S",""))))))</f>
        <v>B</v>
      </c>
      <c r="W8" s="57" t="str">
        <f>IF(W$4&lt;Packages!$K$9,"",IF(W$4&lt;=EOMONTH(Packages!$K$9,Packages!$L$9-1),"D",IF(W$4&lt;=EOMONTH(Packages!$K$9,Packages!$L$9+Packages!$M$9-1),"B",IF(W$4&lt;=EOMONTH(Packages!$K$9,Packages!$L$9+Packages!$M$9+Packages!$N$9-1),"U",IF(W$4&lt;=EOMONTH(Packages!$K$9,Packages!$L$9+Packages!$M$9+Packages!$N$9+Packages!$O$9-1),"G",IF(W$4&lt;=EOMONTH(Packages!$K$9,Packages!$L$9+Packages!$M$9+Packages!$N$9+Packages!$O$9+Packages!$P$9-1),"S",""))))))</f>
        <v>B</v>
      </c>
      <c r="X8" s="57" t="str">
        <f>IF(X$4&lt;Packages!$K$9,"",IF(X$4&lt;=EOMONTH(Packages!$K$9,Packages!$L$9-1),"D",IF(X$4&lt;=EOMONTH(Packages!$K$9,Packages!$L$9+Packages!$M$9-1),"B",IF(X$4&lt;=EOMONTH(Packages!$K$9,Packages!$L$9+Packages!$M$9+Packages!$N$9-1),"U",IF(X$4&lt;=EOMONTH(Packages!$K$9,Packages!$L$9+Packages!$M$9+Packages!$N$9+Packages!$O$9-1),"G",IF(X$4&lt;=EOMONTH(Packages!$K$9,Packages!$L$9+Packages!$M$9+Packages!$N$9+Packages!$O$9+Packages!$P$9-1),"S",""))))))</f>
        <v>B</v>
      </c>
      <c r="Y8" s="57" t="str">
        <f>IF(Y$4&lt;Packages!$K$9,"",IF(Y$4&lt;=EOMONTH(Packages!$K$9,Packages!$L$9-1),"D",IF(Y$4&lt;=EOMONTH(Packages!$K$9,Packages!$L$9+Packages!$M$9-1),"B",IF(Y$4&lt;=EOMONTH(Packages!$K$9,Packages!$L$9+Packages!$M$9+Packages!$N$9-1),"U",IF(Y$4&lt;=EOMONTH(Packages!$K$9,Packages!$L$9+Packages!$M$9+Packages!$N$9+Packages!$O$9-1),"G",IF(Y$4&lt;=EOMONTH(Packages!$K$9,Packages!$L$9+Packages!$M$9+Packages!$N$9+Packages!$O$9+Packages!$P$9-1),"S",""))))))</f>
        <v>U</v>
      </c>
      <c r="Z8" s="57" t="str">
        <f>IF(Z$4&lt;Packages!$K$9,"",IF(Z$4&lt;=EOMONTH(Packages!$K$9,Packages!$L$9-1),"D",IF(Z$4&lt;=EOMONTH(Packages!$K$9,Packages!$L$9+Packages!$M$9-1),"B",IF(Z$4&lt;=EOMONTH(Packages!$K$9,Packages!$L$9+Packages!$M$9+Packages!$N$9-1),"U",IF(Z$4&lt;=EOMONTH(Packages!$K$9,Packages!$L$9+Packages!$M$9+Packages!$N$9+Packages!$O$9-1),"G",IF(Z$4&lt;=EOMONTH(Packages!$K$9,Packages!$L$9+Packages!$M$9+Packages!$N$9+Packages!$O$9+Packages!$P$9-1),"S",""))))))</f>
        <v>G</v>
      </c>
      <c r="AA8" s="57" t="str">
        <f>IF(AA$4&lt;Packages!$K$9,"",IF(AA$4&lt;=EOMONTH(Packages!$K$9,Packages!$L$9-1),"D",IF(AA$4&lt;=EOMONTH(Packages!$K$9,Packages!$L$9+Packages!$M$9-1),"B",IF(AA$4&lt;=EOMONTH(Packages!$K$9,Packages!$L$9+Packages!$M$9+Packages!$N$9-1),"U",IF(AA$4&lt;=EOMONTH(Packages!$K$9,Packages!$L$9+Packages!$M$9+Packages!$N$9+Packages!$O$9-1),"G",IF(AA$4&lt;=EOMONTH(Packages!$K$9,Packages!$L$9+Packages!$M$9+Packages!$N$9+Packages!$O$9+Packages!$P$9-1),"S",""))))))</f>
        <v>S</v>
      </c>
      <c r="AB8" s="57" t="str">
        <f>IF(AB$4&lt;Packages!$K$9,"",IF(AB$4&lt;=EOMONTH(Packages!$K$9,Packages!$L$9-1),"D",IF(AB$4&lt;=EOMONTH(Packages!$K$9,Packages!$L$9+Packages!$M$9-1),"B",IF(AB$4&lt;=EOMONTH(Packages!$K$9,Packages!$L$9+Packages!$M$9+Packages!$N$9-1),"U",IF(AB$4&lt;=EOMONTH(Packages!$K$9,Packages!$L$9+Packages!$M$9+Packages!$N$9+Packages!$O$9-1),"G",IF(AB$4&lt;=EOMONTH(Packages!$K$9,Packages!$L$9+Packages!$M$9+Packages!$N$9+Packages!$O$9+Packages!$P$9-1),"S",""))))))</f>
        <v>S</v>
      </c>
      <c r="AC8" s="57" t="str">
        <f>IF(AC$4&lt;Packages!$K$9,"",IF(AC$4&lt;=EOMONTH(Packages!$K$9,Packages!$L$9-1),"D",IF(AC$4&lt;=EOMONTH(Packages!$K$9,Packages!$L$9+Packages!$M$9-1),"B",IF(AC$4&lt;=EOMONTH(Packages!$K$9,Packages!$L$9+Packages!$M$9+Packages!$N$9-1),"U",IF(AC$4&lt;=EOMONTH(Packages!$K$9,Packages!$L$9+Packages!$M$9+Packages!$N$9+Packages!$O$9-1),"G",IF(AC$4&lt;=EOMONTH(Packages!$K$9,Packages!$L$9+Packages!$M$9+Packages!$N$9+Packages!$O$9+Packages!$P$9-1),"S",""))))))</f>
        <v>S</v>
      </c>
      <c r="AD8" s="57" t="str">
        <f>IF(AD$4&lt;Packages!$K$9,"",IF(AD$4&lt;=EOMONTH(Packages!$K$9,Packages!$L$9-1),"D",IF(AD$4&lt;=EOMONTH(Packages!$K$9,Packages!$L$9+Packages!$M$9-1),"B",IF(AD$4&lt;=EOMONTH(Packages!$K$9,Packages!$L$9+Packages!$M$9+Packages!$N$9-1),"U",IF(AD$4&lt;=EOMONTH(Packages!$K$9,Packages!$L$9+Packages!$M$9+Packages!$N$9+Packages!$O$9-1),"G",IF(AD$4&lt;=EOMONTH(Packages!$K$9,Packages!$L$9+Packages!$M$9+Packages!$N$9+Packages!$O$9+Packages!$P$9-1),"S",""))))))</f>
        <v/>
      </c>
      <c r="AE8" s="57" t="str">
        <f>IF(AE$4&lt;Packages!$K$9,"",IF(AE$4&lt;=EOMONTH(Packages!$K$9,Packages!$L$9-1),"D",IF(AE$4&lt;=EOMONTH(Packages!$K$9,Packages!$L$9+Packages!$M$9-1),"B",IF(AE$4&lt;=EOMONTH(Packages!$K$9,Packages!$L$9+Packages!$M$9+Packages!$N$9-1),"U",IF(AE$4&lt;=EOMONTH(Packages!$K$9,Packages!$L$9+Packages!$M$9+Packages!$N$9+Packages!$O$9-1),"G",IF(AE$4&lt;=EOMONTH(Packages!$K$9,Packages!$L$9+Packages!$M$9+Packages!$N$9+Packages!$O$9+Packages!$P$9-1),"S",""))))))</f>
        <v/>
      </c>
      <c r="AF8" s="57" t="str">
        <f>IF(AF$4&lt;Packages!$K$9,"",IF(AF$4&lt;=EOMONTH(Packages!$K$9,Packages!$L$9-1),"D",IF(AF$4&lt;=EOMONTH(Packages!$K$9,Packages!$L$9+Packages!$M$9-1),"B",IF(AF$4&lt;=EOMONTH(Packages!$K$9,Packages!$L$9+Packages!$M$9+Packages!$N$9-1),"U",IF(AF$4&lt;=EOMONTH(Packages!$K$9,Packages!$L$9+Packages!$M$9+Packages!$N$9+Packages!$O$9-1),"G",IF(AF$4&lt;=EOMONTH(Packages!$K$9,Packages!$L$9+Packages!$M$9+Packages!$N$9+Packages!$O$9+Packages!$P$9-1),"S",""))))))</f>
        <v/>
      </c>
      <c r="AG8" s="57" t="str">
        <f>IF(AG$4&lt;Packages!$K$9,"",IF(AG$4&lt;=EOMONTH(Packages!$K$9,Packages!$L$9-1),"D",IF(AG$4&lt;=EOMONTH(Packages!$K$9,Packages!$L$9+Packages!$M$9-1),"B",IF(AG$4&lt;=EOMONTH(Packages!$K$9,Packages!$L$9+Packages!$M$9+Packages!$N$9-1),"U",IF(AG$4&lt;=EOMONTH(Packages!$K$9,Packages!$L$9+Packages!$M$9+Packages!$N$9+Packages!$O$9-1),"G",IF(AG$4&lt;=EOMONTH(Packages!$K$9,Packages!$L$9+Packages!$M$9+Packages!$N$9+Packages!$O$9+Packages!$P$9-1),"S",""))))))</f>
        <v/>
      </c>
      <c r="AH8" s="57" t="str">
        <f>IF(AH$4&lt;Packages!$K$9,"",IF(AH$4&lt;=EOMONTH(Packages!$K$9,Packages!$L$9-1),"D",IF(AH$4&lt;=EOMONTH(Packages!$K$9,Packages!$L$9+Packages!$M$9-1),"B",IF(AH$4&lt;=EOMONTH(Packages!$K$9,Packages!$L$9+Packages!$M$9+Packages!$N$9-1),"U",IF(AH$4&lt;=EOMONTH(Packages!$K$9,Packages!$L$9+Packages!$M$9+Packages!$N$9+Packages!$O$9-1),"G",IF(AH$4&lt;=EOMONTH(Packages!$K$9,Packages!$L$9+Packages!$M$9+Packages!$N$9+Packages!$O$9+Packages!$P$9-1),"S",""))))))</f>
        <v/>
      </c>
      <c r="AI8" s="57" t="str">
        <f>IF(AI$4&lt;Packages!$K$9,"",IF(AI$4&lt;=EOMONTH(Packages!$K$9,Packages!$L$9-1),"D",IF(AI$4&lt;=EOMONTH(Packages!$K$9,Packages!$L$9+Packages!$M$9-1),"B",IF(AI$4&lt;=EOMONTH(Packages!$K$9,Packages!$L$9+Packages!$M$9+Packages!$N$9-1),"U",IF(AI$4&lt;=EOMONTH(Packages!$K$9,Packages!$L$9+Packages!$M$9+Packages!$N$9+Packages!$O$9-1),"G",IF(AI$4&lt;=EOMONTH(Packages!$K$9,Packages!$L$9+Packages!$M$9+Packages!$N$9+Packages!$O$9+Packages!$P$9-1),"S",""))))))</f>
        <v/>
      </c>
      <c r="AJ8" s="57" t="str">
        <f>IF(AJ$4&lt;Packages!$K$9,"",IF(AJ$4&lt;=EOMONTH(Packages!$K$9,Packages!$L$9-1),"D",IF(AJ$4&lt;=EOMONTH(Packages!$K$9,Packages!$L$9+Packages!$M$9-1),"B",IF(AJ$4&lt;=EOMONTH(Packages!$K$9,Packages!$L$9+Packages!$M$9+Packages!$N$9-1),"U",IF(AJ$4&lt;=EOMONTH(Packages!$K$9,Packages!$L$9+Packages!$M$9+Packages!$N$9+Packages!$O$9-1),"G",IF(AJ$4&lt;=EOMONTH(Packages!$K$9,Packages!$L$9+Packages!$M$9+Packages!$N$9+Packages!$O$9+Packages!$P$9-1),"S",""))))))</f>
        <v/>
      </c>
      <c r="AK8" s="57" t="str">
        <f>IF(AK$4&lt;Packages!$K$9,"",IF(AK$4&lt;=EOMONTH(Packages!$K$9,Packages!$L$9-1),"D",IF(AK$4&lt;=EOMONTH(Packages!$K$9,Packages!$L$9+Packages!$M$9-1),"B",IF(AK$4&lt;=EOMONTH(Packages!$K$9,Packages!$L$9+Packages!$M$9+Packages!$N$9-1),"U",IF(AK$4&lt;=EOMONTH(Packages!$K$9,Packages!$L$9+Packages!$M$9+Packages!$N$9+Packages!$O$9-1),"G",IF(AK$4&lt;=EOMONTH(Packages!$K$9,Packages!$L$9+Packages!$M$9+Packages!$N$9+Packages!$O$9+Packages!$P$9-1),"S",""))))))</f>
        <v/>
      </c>
      <c r="AL8" s="57" t="str">
        <f>IF(AL$4&lt;Packages!$K$9,"",IF(AL$4&lt;=EOMONTH(Packages!$K$9,Packages!$L$9-1),"D",IF(AL$4&lt;=EOMONTH(Packages!$K$9,Packages!$L$9+Packages!$M$9-1),"B",IF(AL$4&lt;=EOMONTH(Packages!$K$9,Packages!$L$9+Packages!$M$9+Packages!$N$9-1),"U",IF(AL$4&lt;=EOMONTH(Packages!$K$9,Packages!$L$9+Packages!$M$9+Packages!$N$9+Packages!$O$9-1),"G",IF(AL$4&lt;=EOMONTH(Packages!$K$9,Packages!$L$9+Packages!$M$9+Packages!$N$9+Packages!$O$9+Packages!$P$9-1),"S",""))))))</f>
        <v/>
      </c>
      <c r="AM8" s="57" t="str">
        <f>IF(AM$4&lt;Packages!$K$9,"",IF(AM$4&lt;=EOMONTH(Packages!$K$9,Packages!$L$9-1),"D",IF(AM$4&lt;=EOMONTH(Packages!$K$9,Packages!$L$9+Packages!$M$9-1),"B",IF(AM$4&lt;=EOMONTH(Packages!$K$9,Packages!$L$9+Packages!$M$9+Packages!$N$9-1),"U",IF(AM$4&lt;=EOMONTH(Packages!$K$9,Packages!$L$9+Packages!$M$9+Packages!$N$9+Packages!$O$9-1),"G",IF(AM$4&lt;=EOMONTH(Packages!$K$9,Packages!$L$9+Packages!$M$9+Packages!$N$9+Packages!$O$9+Packages!$P$9-1),"S",""))))))</f>
        <v/>
      </c>
      <c r="AN8" s="57" t="str">
        <f>IF(AN$4&lt;Packages!$K$9,"",IF(AN$4&lt;=EOMONTH(Packages!$K$9,Packages!$L$9-1),"D",IF(AN$4&lt;=EOMONTH(Packages!$K$9,Packages!$L$9+Packages!$M$9-1),"B",IF(AN$4&lt;=EOMONTH(Packages!$K$9,Packages!$L$9+Packages!$M$9+Packages!$N$9-1),"U",IF(AN$4&lt;=EOMONTH(Packages!$K$9,Packages!$L$9+Packages!$M$9+Packages!$N$9+Packages!$O$9-1),"G",IF(AN$4&lt;=EOMONTH(Packages!$K$9,Packages!$L$9+Packages!$M$9+Packages!$N$9+Packages!$O$9+Packages!$P$9-1),"S",""))))))</f>
        <v/>
      </c>
      <c r="AO8" s="57" t="str">
        <f>IF(AO$4&lt;Packages!$K$9,"",IF(AO$4&lt;=EOMONTH(Packages!$K$9,Packages!$L$9-1),"D",IF(AO$4&lt;=EOMONTH(Packages!$K$9,Packages!$L$9+Packages!$M$9-1),"B",IF(AO$4&lt;=EOMONTH(Packages!$K$9,Packages!$L$9+Packages!$M$9+Packages!$N$9-1),"U",IF(AO$4&lt;=EOMONTH(Packages!$K$9,Packages!$L$9+Packages!$M$9+Packages!$N$9+Packages!$O$9-1),"G",IF(AO$4&lt;=EOMONTH(Packages!$K$9,Packages!$L$9+Packages!$M$9+Packages!$N$9+Packages!$O$9+Packages!$P$9-1),"S",""))))))</f>
        <v/>
      </c>
    </row>
    <row r="9" spans="1:41" ht="30" customHeight="1" x14ac:dyDescent="0.3">
      <c r="A9" s="9" t="str">
        <f>Packages!A10</f>
        <v>WP5</v>
      </c>
      <c r="B9" s="10" t="str">
        <f>Packages!B10</f>
        <v>MSC services (issue, renewal, scope inclusion)</v>
      </c>
      <c r="C9" s="57" t="str">
        <f>IF(C$4&lt;Packages!$K$10,"",IF(C$4&lt;=EOMONTH(Packages!$K$10,Packages!$L$10-1),"D",IF(C$4&lt;=EOMONTH(Packages!$K$10,Packages!$L$10+Packages!$M$10-1),"B",IF(C$4&lt;=EOMONTH(Packages!$K$10,Packages!$L$10+Packages!$M$10+Packages!$N$10-1),"U",IF(C$4&lt;=EOMONTH(Packages!$K$10,Packages!$L$10+Packages!$M$10+Packages!$N$10+Packages!$O$10-1),"G",IF(C$4&lt;=EOMONTH(Packages!$K$10,Packages!$L$10+Packages!$M$10+Packages!$N$10+Packages!$O$10+Packages!$P$10-1),"S",""))))))</f>
        <v/>
      </c>
      <c r="D9" s="57" t="str">
        <f>IF(D$4&lt;Packages!$K$10,"",IF(D$4&lt;=EOMONTH(Packages!$K$10,Packages!$L$10-1),"D",IF(D$4&lt;=EOMONTH(Packages!$K$10,Packages!$L$10+Packages!$M$10-1),"B",IF(D$4&lt;=EOMONTH(Packages!$K$10,Packages!$L$10+Packages!$M$10+Packages!$N$10-1),"U",IF(D$4&lt;=EOMONTH(Packages!$K$10,Packages!$L$10+Packages!$M$10+Packages!$N$10+Packages!$O$10-1),"G",IF(D$4&lt;=EOMONTH(Packages!$K$10,Packages!$L$10+Packages!$M$10+Packages!$N$10+Packages!$O$10+Packages!$P$10-1),"S",""))))))</f>
        <v/>
      </c>
      <c r="E9" s="57" t="str">
        <f>IF(E$4&lt;Packages!$K$10,"",IF(E$4&lt;=EOMONTH(Packages!$K$10,Packages!$L$10-1),"D",IF(E$4&lt;=EOMONTH(Packages!$K$10,Packages!$L$10+Packages!$M$10-1),"B",IF(E$4&lt;=EOMONTH(Packages!$K$10,Packages!$L$10+Packages!$M$10+Packages!$N$10-1),"U",IF(E$4&lt;=EOMONTH(Packages!$K$10,Packages!$L$10+Packages!$M$10+Packages!$N$10+Packages!$O$10-1),"G",IF(E$4&lt;=EOMONTH(Packages!$K$10,Packages!$L$10+Packages!$M$10+Packages!$N$10+Packages!$O$10+Packages!$P$10-1),"S",""))))))</f>
        <v/>
      </c>
      <c r="F9" s="57" t="str">
        <f>IF(F$4&lt;Packages!$K$10,"",IF(F$4&lt;=EOMONTH(Packages!$K$10,Packages!$L$10-1),"D",IF(F$4&lt;=EOMONTH(Packages!$K$10,Packages!$L$10+Packages!$M$10-1),"B",IF(F$4&lt;=EOMONTH(Packages!$K$10,Packages!$L$10+Packages!$M$10+Packages!$N$10-1),"U",IF(F$4&lt;=EOMONTH(Packages!$K$10,Packages!$L$10+Packages!$M$10+Packages!$N$10+Packages!$O$10-1),"G",IF(F$4&lt;=EOMONTH(Packages!$K$10,Packages!$L$10+Packages!$M$10+Packages!$N$10+Packages!$O$10+Packages!$P$10-1),"S",""))))))</f>
        <v/>
      </c>
      <c r="G9" s="57" t="str">
        <f>IF(G$4&lt;Packages!$K$10,"",IF(G$4&lt;=EOMONTH(Packages!$K$10,Packages!$L$10-1),"D",IF(G$4&lt;=EOMONTH(Packages!$K$10,Packages!$L$10+Packages!$M$10-1),"B",IF(G$4&lt;=EOMONTH(Packages!$K$10,Packages!$L$10+Packages!$M$10+Packages!$N$10-1),"U",IF(G$4&lt;=EOMONTH(Packages!$K$10,Packages!$L$10+Packages!$M$10+Packages!$N$10+Packages!$O$10-1),"G",IF(G$4&lt;=EOMONTH(Packages!$K$10,Packages!$L$10+Packages!$M$10+Packages!$N$10+Packages!$O$10+Packages!$P$10-1),"S",""))))))</f>
        <v/>
      </c>
      <c r="H9" s="57" t="str">
        <f>IF(H$4&lt;Packages!$K$10,"",IF(H$4&lt;=EOMONTH(Packages!$K$10,Packages!$L$10-1),"D",IF(H$4&lt;=EOMONTH(Packages!$K$10,Packages!$L$10+Packages!$M$10-1),"B",IF(H$4&lt;=EOMONTH(Packages!$K$10,Packages!$L$10+Packages!$M$10+Packages!$N$10-1),"U",IF(H$4&lt;=EOMONTH(Packages!$K$10,Packages!$L$10+Packages!$M$10+Packages!$N$10+Packages!$O$10-1),"G",IF(H$4&lt;=EOMONTH(Packages!$K$10,Packages!$L$10+Packages!$M$10+Packages!$N$10+Packages!$O$10+Packages!$P$10-1),"S",""))))))</f>
        <v/>
      </c>
      <c r="I9" s="57" t="str">
        <f>IF(I$4&lt;Packages!$K$10,"",IF(I$4&lt;=EOMONTH(Packages!$K$10,Packages!$L$10-1),"D",IF(I$4&lt;=EOMONTH(Packages!$K$10,Packages!$L$10+Packages!$M$10-1),"B",IF(I$4&lt;=EOMONTH(Packages!$K$10,Packages!$L$10+Packages!$M$10+Packages!$N$10-1),"U",IF(I$4&lt;=EOMONTH(Packages!$K$10,Packages!$L$10+Packages!$M$10+Packages!$N$10+Packages!$O$10-1),"G",IF(I$4&lt;=EOMONTH(Packages!$K$10,Packages!$L$10+Packages!$M$10+Packages!$N$10+Packages!$O$10+Packages!$P$10-1),"S",""))))))</f>
        <v/>
      </c>
      <c r="J9" s="57" t="str">
        <f>IF(J$4&lt;Packages!$K$10,"",IF(J$4&lt;=EOMONTH(Packages!$K$10,Packages!$L$10-1),"D",IF(J$4&lt;=EOMONTH(Packages!$K$10,Packages!$L$10+Packages!$M$10-1),"B",IF(J$4&lt;=EOMONTH(Packages!$K$10,Packages!$L$10+Packages!$M$10+Packages!$N$10-1),"U",IF(J$4&lt;=EOMONTH(Packages!$K$10,Packages!$L$10+Packages!$M$10+Packages!$N$10+Packages!$O$10-1),"G",IF(J$4&lt;=EOMONTH(Packages!$K$10,Packages!$L$10+Packages!$M$10+Packages!$N$10+Packages!$O$10+Packages!$P$10-1),"S",""))))))</f>
        <v/>
      </c>
      <c r="K9" s="57" t="str">
        <f>IF(K$4&lt;Packages!$K$10,"",IF(K$4&lt;=EOMONTH(Packages!$K$10,Packages!$L$10-1),"D",IF(K$4&lt;=EOMONTH(Packages!$K$10,Packages!$L$10+Packages!$M$10-1),"B",IF(K$4&lt;=EOMONTH(Packages!$K$10,Packages!$L$10+Packages!$M$10+Packages!$N$10-1),"U",IF(K$4&lt;=EOMONTH(Packages!$K$10,Packages!$L$10+Packages!$M$10+Packages!$N$10+Packages!$O$10-1),"G",IF(K$4&lt;=EOMONTH(Packages!$K$10,Packages!$L$10+Packages!$M$10+Packages!$N$10+Packages!$O$10+Packages!$P$10-1),"S",""))))))</f>
        <v/>
      </c>
      <c r="L9" s="57" t="str">
        <f>IF(L$4&lt;Packages!$K$10,"",IF(L$4&lt;=EOMONTH(Packages!$K$10,Packages!$L$10-1),"D",IF(L$4&lt;=EOMONTH(Packages!$K$10,Packages!$L$10+Packages!$M$10-1),"B",IF(L$4&lt;=EOMONTH(Packages!$K$10,Packages!$L$10+Packages!$M$10+Packages!$N$10-1),"U",IF(L$4&lt;=EOMONTH(Packages!$K$10,Packages!$L$10+Packages!$M$10+Packages!$N$10+Packages!$O$10-1),"G",IF(L$4&lt;=EOMONTH(Packages!$K$10,Packages!$L$10+Packages!$M$10+Packages!$N$10+Packages!$O$10+Packages!$P$10-1),"S",""))))))</f>
        <v/>
      </c>
      <c r="M9" s="57" t="str">
        <f>IF(M$4&lt;Packages!$K$10,"",IF(M$4&lt;=EOMONTH(Packages!$K$10,Packages!$L$10-1),"D",IF(M$4&lt;=EOMONTH(Packages!$K$10,Packages!$L$10+Packages!$M$10-1),"B",IF(M$4&lt;=EOMONTH(Packages!$K$10,Packages!$L$10+Packages!$M$10+Packages!$N$10-1),"U",IF(M$4&lt;=EOMONTH(Packages!$K$10,Packages!$L$10+Packages!$M$10+Packages!$N$10+Packages!$O$10-1),"G",IF(M$4&lt;=EOMONTH(Packages!$K$10,Packages!$L$10+Packages!$M$10+Packages!$N$10+Packages!$O$10+Packages!$P$10-1),"S",""))))))</f>
        <v/>
      </c>
      <c r="N9" s="57" t="str">
        <f>IF(N$4&lt;Packages!$K$10,"",IF(N$4&lt;=EOMONTH(Packages!$K$10,Packages!$L$10-1),"D",IF(N$4&lt;=EOMONTH(Packages!$K$10,Packages!$L$10+Packages!$M$10-1),"B",IF(N$4&lt;=EOMONTH(Packages!$K$10,Packages!$L$10+Packages!$M$10+Packages!$N$10-1),"U",IF(N$4&lt;=EOMONTH(Packages!$K$10,Packages!$L$10+Packages!$M$10+Packages!$N$10+Packages!$O$10-1),"G",IF(N$4&lt;=EOMONTH(Packages!$K$10,Packages!$L$10+Packages!$M$10+Packages!$N$10+Packages!$O$10+Packages!$P$10-1),"S",""))))))</f>
        <v/>
      </c>
      <c r="O9" s="57" t="str">
        <f>IF(O$4&lt;Packages!$K$10,"",IF(O$4&lt;=EOMONTH(Packages!$K$10,Packages!$L$10-1),"D",IF(O$4&lt;=EOMONTH(Packages!$K$10,Packages!$L$10+Packages!$M$10-1),"B",IF(O$4&lt;=EOMONTH(Packages!$K$10,Packages!$L$10+Packages!$M$10+Packages!$N$10-1),"U",IF(O$4&lt;=EOMONTH(Packages!$K$10,Packages!$L$10+Packages!$M$10+Packages!$N$10+Packages!$O$10-1),"G",IF(O$4&lt;=EOMONTH(Packages!$K$10,Packages!$L$10+Packages!$M$10+Packages!$N$10+Packages!$O$10+Packages!$P$10-1),"S",""))))))</f>
        <v/>
      </c>
      <c r="P9" s="57" t="str">
        <f>IF(P$4&lt;Packages!$K$10,"",IF(P$4&lt;=EOMONTH(Packages!$K$10,Packages!$L$10-1),"D",IF(P$4&lt;=EOMONTH(Packages!$K$10,Packages!$L$10+Packages!$M$10-1),"B",IF(P$4&lt;=EOMONTH(Packages!$K$10,Packages!$L$10+Packages!$M$10+Packages!$N$10-1),"U",IF(P$4&lt;=EOMONTH(Packages!$K$10,Packages!$L$10+Packages!$M$10+Packages!$N$10+Packages!$O$10-1),"G",IF(P$4&lt;=EOMONTH(Packages!$K$10,Packages!$L$10+Packages!$M$10+Packages!$N$10+Packages!$O$10+Packages!$P$10-1),"S",""))))))</f>
        <v/>
      </c>
      <c r="Q9" s="57" t="str">
        <f>IF(Q$4&lt;Packages!$K$10,"",IF(Q$4&lt;=EOMONTH(Packages!$K$10,Packages!$L$10-1),"D",IF(Q$4&lt;=EOMONTH(Packages!$K$10,Packages!$L$10+Packages!$M$10-1),"B",IF(Q$4&lt;=EOMONTH(Packages!$K$10,Packages!$L$10+Packages!$M$10+Packages!$N$10-1),"U",IF(Q$4&lt;=EOMONTH(Packages!$K$10,Packages!$L$10+Packages!$M$10+Packages!$N$10+Packages!$O$10-1),"G",IF(Q$4&lt;=EOMONTH(Packages!$K$10,Packages!$L$10+Packages!$M$10+Packages!$N$10+Packages!$O$10+Packages!$P$10-1),"S",""))))))</f>
        <v/>
      </c>
      <c r="R9" s="57" t="str">
        <f>IF(R$4&lt;Packages!$K$10,"",IF(R$4&lt;=EOMONTH(Packages!$K$10,Packages!$L$10-1),"D",IF(R$4&lt;=EOMONTH(Packages!$K$10,Packages!$L$10+Packages!$M$10-1),"B",IF(R$4&lt;=EOMONTH(Packages!$K$10,Packages!$L$10+Packages!$M$10+Packages!$N$10-1),"U",IF(R$4&lt;=EOMONTH(Packages!$K$10,Packages!$L$10+Packages!$M$10+Packages!$N$10+Packages!$O$10-1),"G",IF(R$4&lt;=EOMONTH(Packages!$K$10,Packages!$L$10+Packages!$M$10+Packages!$N$10+Packages!$O$10+Packages!$P$10-1),"S",""))))))</f>
        <v/>
      </c>
      <c r="S9" s="57" t="str">
        <f>IF(S$4&lt;Packages!$K$10,"",IF(S$4&lt;=EOMONTH(Packages!$K$10,Packages!$L$10-1),"D",IF(S$4&lt;=EOMONTH(Packages!$K$10,Packages!$L$10+Packages!$M$10-1),"B",IF(S$4&lt;=EOMONTH(Packages!$K$10,Packages!$L$10+Packages!$M$10+Packages!$N$10-1),"U",IF(S$4&lt;=EOMONTH(Packages!$K$10,Packages!$L$10+Packages!$M$10+Packages!$N$10+Packages!$O$10-1),"G",IF(S$4&lt;=EOMONTH(Packages!$K$10,Packages!$L$10+Packages!$M$10+Packages!$N$10+Packages!$O$10+Packages!$P$10-1),"S",""))))))</f>
        <v/>
      </c>
      <c r="T9" s="57" t="str">
        <f>IF(T$4&lt;Packages!$K$10,"",IF(T$4&lt;=EOMONTH(Packages!$K$10,Packages!$L$10-1),"D",IF(T$4&lt;=EOMONTH(Packages!$K$10,Packages!$L$10+Packages!$M$10-1),"B",IF(T$4&lt;=EOMONTH(Packages!$K$10,Packages!$L$10+Packages!$M$10+Packages!$N$10-1),"U",IF(T$4&lt;=EOMONTH(Packages!$K$10,Packages!$L$10+Packages!$M$10+Packages!$N$10+Packages!$O$10-1),"G",IF(T$4&lt;=EOMONTH(Packages!$K$10,Packages!$L$10+Packages!$M$10+Packages!$N$10+Packages!$O$10+Packages!$P$10-1),"S",""))))))</f>
        <v/>
      </c>
      <c r="U9" s="57" t="str">
        <f>IF(U$4&lt;Packages!$K$10,"",IF(U$4&lt;=EOMONTH(Packages!$K$10,Packages!$L$10-1),"D",IF(U$4&lt;=EOMONTH(Packages!$K$10,Packages!$L$10+Packages!$M$10-1),"B",IF(U$4&lt;=EOMONTH(Packages!$K$10,Packages!$L$10+Packages!$M$10+Packages!$N$10-1),"U",IF(U$4&lt;=EOMONTH(Packages!$K$10,Packages!$L$10+Packages!$M$10+Packages!$N$10+Packages!$O$10-1),"G",IF(U$4&lt;=EOMONTH(Packages!$K$10,Packages!$L$10+Packages!$M$10+Packages!$N$10+Packages!$O$10+Packages!$P$10-1),"S",""))))))</f>
        <v/>
      </c>
      <c r="V9" s="57" t="str">
        <f>IF(V$4&lt;Packages!$K$10,"",IF(V$4&lt;=EOMONTH(Packages!$K$10,Packages!$L$10-1),"D",IF(V$4&lt;=EOMONTH(Packages!$K$10,Packages!$L$10+Packages!$M$10-1),"B",IF(V$4&lt;=EOMONTH(Packages!$K$10,Packages!$L$10+Packages!$M$10+Packages!$N$10-1),"U",IF(V$4&lt;=EOMONTH(Packages!$K$10,Packages!$L$10+Packages!$M$10+Packages!$N$10+Packages!$O$10-1),"G",IF(V$4&lt;=EOMONTH(Packages!$K$10,Packages!$L$10+Packages!$M$10+Packages!$N$10+Packages!$O$10+Packages!$P$10-1),"S",""))))))</f>
        <v/>
      </c>
      <c r="W9" s="57" t="str">
        <f>IF(W$4&lt;Packages!$K$10,"",IF(W$4&lt;=EOMONTH(Packages!$K$10,Packages!$L$10-1),"D",IF(W$4&lt;=EOMONTH(Packages!$K$10,Packages!$L$10+Packages!$M$10-1),"B",IF(W$4&lt;=EOMONTH(Packages!$K$10,Packages!$L$10+Packages!$M$10+Packages!$N$10-1),"U",IF(W$4&lt;=EOMONTH(Packages!$K$10,Packages!$L$10+Packages!$M$10+Packages!$N$10+Packages!$O$10-1),"G",IF(W$4&lt;=EOMONTH(Packages!$K$10,Packages!$L$10+Packages!$M$10+Packages!$N$10+Packages!$O$10+Packages!$P$10-1),"S",""))))))</f>
        <v/>
      </c>
      <c r="X9" s="57" t="str">
        <f>IF(X$4&lt;Packages!$K$10,"",IF(X$4&lt;=EOMONTH(Packages!$K$10,Packages!$L$10-1),"D",IF(X$4&lt;=EOMONTH(Packages!$K$10,Packages!$L$10+Packages!$M$10-1),"B",IF(X$4&lt;=EOMONTH(Packages!$K$10,Packages!$L$10+Packages!$M$10+Packages!$N$10-1),"U",IF(X$4&lt;=EOMONTH(Packages!$K$10,Packages!$L$10+Packages!$M$10+Packages!$N$10+Packages!$O$10-1),"G",IF(X$4&lt;=EOMONTH(Packages!$K$10,Packages!$L$10+Packages!$M$10+Packages!$N$10+Packages!$O$10+Packages!$P$10-1),"S",""))))))</f>
        <v>D</v>
      </c>
      <c r="Y9" s="57" t="str">
        <f>IF(Y$4&lt;Packages!$K$10,"",IF(Y$4&lt;=EOMONTH(Packages!$K$10,Packages!$L$10-1),"D",IF(Y$4&lt;=EOMONTH(Packages!$K$10,Packages!$L$10+Packages!$M$10-1),"B",IF(Y$4&lt;=EOMONTH(Packages!$K$10,Packages!$L$10+Packages!$M$10+Packages!$N$10-1),"U",IF(Y$4&lt;=EOMONTH(Packages!$K$10,Packages!$L$10+Packages!$M$10+Packages!$N$10+Packages!$O$10-1),"G",IF(Y$4&lt;=EOMONTH(Packages!$K$10,Packages!$L$10+Packages!$M$10+Packages!$N$10+Packages!$O$10+Packages!$P$10-1),"S",""))))))</f>
        <v>D</v>
      </c>
      <c r="Z9" s="57" t="str">
        <f>IF(Z$4&lt;Packages!$K$10,"",IF(Z$4&lt;=EOMONTH(Packages!$K$10,Packages!$L$10-1),"D",IF(Z$4&lt;=EOMONTH(Packages!$K$10,Packages!$L$10+Packages!$M$10-1),"B",IF(Z$4&lt;=EOMONTH(Packages!$K$10,Packages!$L$10+Packages!$M$10+Packages!$N$10-1),"U",IF(Z$4&lt;=EOMONTH(Packages!$K$10,Packages!$L$10+Packages!$M$10+Packages!$N$10+Packages!$O$10-1),"G",IF(Z$4&lt;=EOMONTH(Packages!$K$10,Packages!$L$10+Packages!$M$10+Packages!$N$10+Packages!$O$10+Packages!$P$10-1),"S",""))))))</f>
        <v>B</v>
      </c>
      <c r="AA9" s="57" t="str">
        <f>IF(AA$4&lt;Packages!$K$10,"",IF(AA$4&lt;=EOMONTH(Packages!$K$10,Packages!$L$10-1),"D",IF(AA$4&lt;=EOMONTH(Packages!$K$10,Packages!$L$10+Packages!$M$10-1),"B",IF(AA$4&lt;=EOMONTH(Packages!$K$10,Packages!$L$10+Packages!$M$10+Packages!$N$10-1),"U",IF(AA$4&lt;=EOMONTH(Packages!$K$10,Packages!$L$10+Packages!$M$10+Packages!$N$10+Packages!$O$10-1),"G",IF(AA$4&lt;=EOMONTH(Packages!$K$10,Packages!$L$10+Packages!$M$10+Packages!$N$10+Packages!$O$10+Packages!$P$10-1),"S",""))))))</f>
        <v>B</v>
      </c>
      <c r="AB9" s="57" t="str">
        <f>IF(AB$4&lt;Packages!$K$10,"",IF(AB$4&lt;=EOMONTH(Packages!$K$10,Packages!$L$10-1),"D",IF(AB$4&lt;=EOMONTH(Packages!$K$10,Packages!$L$10+Packages!$M$10-1),"B",IF(AB$4&lt;=EOMONTH(Packages!$K$10,Packages!$L$10+Packages!$M$10+Packages!$N$10-1),"U",IF(AB$4&lt;=EOMONTH(Packages!$K$10,Packages!$L$10+Packages!$M$10+Packages!$N$10+Packages!$O$10-1),"G",IF(AB$4&lt;=EOMONTH(Packages!$K$10,Packages!$L$10+Packages!$M$10+Packages!$N$10+Packages!$O$10+Packages!$P$10-1),"S",""))))))</f>
        <v>B</v>
      </c>
      <c r="AC9" s="57" t="str">
        <f>IF(AC$4&lt;Packages!$K$10,"",IF(AC$4&lt;=EOMONTH(Packages!$K$10,Packages!$L$10-1),"D",IF(AC$4&lt;=EOMONTH(Packages!$K$10,Packages!$L$10+Packages!$M$10-1),"B",IF(AC$4&lt;=EOMONTH(Packages!$K$10,Packages!$L$10+Packages!$M$10+Packages!$N$10-1),"U",IF(AC$4&lt;=EOMONTH(Packages!$K$10,Packages!$L$10+Packages!$M$10+Packages!$N$10+Packages!$O$10-1),"G",IF(AC$4&lt;=EOMONTH(Packages!$K$10,Packages!$L$10+Packages!$M$10+Packages!$N$10+Packages!$O$10+Packages!$P$10-1),"S",""))))))</f>
        <v>B</v>
      </c>
      <c r="AD9" s="57" t="str">
        <f>IF(AD$4&lt;Packages!$K$10,"",IF(AD$4&lt;=EOMONTH(Packages!$K$10,Packages!$L$10-1),"D",IF(AD$4&lt;=EOMONTH(Packages!$K$10,Packages!$L$10+Packages!$M$10-1),"B",IF(AD$4&lt;=EOMONTH(Packages!$K$10,Packages!$L$10+Packages!$M$10+Packages!$N$10-1),"U",IF(AD$4&lt;=EOMONTH(Packages!$K$10,Packages!$L$10+Packages!$M$10+Packages!$N$10+Packages!$O$10-1),"G",IF(AD$4&lt;=EOMONTH(Packages!$K$10,Packages!$L$10+Packages!$M$10+Packages!$N$10+Packages!$O$10+Packages!$P$10-1),"S",""))))))</f>
        <v>B</v>
      </c>
      <c r="AE9" s="57" t="str">
        <f>IF(AE$4&lt;Packages!$K$10,"",IF(AE$4&lt;=EOMONTH(Packages!$K$10,Packages!$L$10-1),"D",IF(AE$4&lt;=EOMONTH(Packages!$K$10,Packages!$L$10+Packages!$M$10-1),"B",IF(AE$4&lt;=EOMONTH(Packages!$K$10,Packages!$L$10+Packages!$M$10+Packages!$N$10-1),"U",IF(AE$4&lt;=EOMONTH(Packages!$K$10,Packages!$L$10+Packages!$M$10+Packages!$N$10+Packages!$O$10-1),"G",IF(AE$4&lt;=EOMONTH(Packages!$K$10,Packages!$L$10+Packages!$M$10+Packages!$N$10+Packages!$O$10+Packages!$P$10-1),"S",""))))))</f>
        <v>U</v>
      </c>
      <c r="AF9" s="57" t="str">
        <f>IF(AF$4&lt;Packages!$K$10,"",IF(AF$4&lt;=EOMONTH(Packages!$K$10,Packages!$L$10-1),"D",IF(AF$4&lt;=EOMONTH(Packages!$K$10,Packages!$L$10+Packages!$M$10-1),"B",IF(AF$4&lt;=EOMONTH(Packages!$K$10,Packages!$L$10+Packages!$M$10+Packages!$N$10-1),"U",IF(AF$4&lt;=EOMONTH(Packages!$K$10,Packages!$L$10+Packages!$M$10+Packages!$N$10+Packages!$O$10-1),"G",IF(AF$4&lt;=EOMONTH(Packages!$K$10,Packages!$L$10+Packages!$M$10+Packages!$N$10+Packages!$O$10+Packages!$P$10-1),"S",""))))))</f>
        <v>G</v>
      </c>
      <c r="AG9" s="57" t="str">
        <f>IF(AG$4&lt;Packages!$K$10,"",IF(AG$4&lt;=EOMONTH(Packages!$K$10,Packages!$L$10-1),"D",IF(AG$4&lt;=EOMONTH(Packages!$K$10,Packages!$L$10+Packages!$M$10-1),"B",IF(AG$4&lt;=EOMONTH(Packages!$K$10,Packages!$L$10+Packages!$M$10+Packages!$N$10-1),"U",IF(AG$4&lt;=EOMONTH(Packages!$K$10,Packages!$L$10+Packages!$M$10+Packages!$N$10+Packages!$O$10-1),"G",IF(AG$4&lt;=EOMONTH(Packages!$K$10,Packages!$L$10+Packages!$M$10+Packages!$N$10+Packages!$O$10+Packages!$P$10-1),"S",""))))))</f>
        <v>S</v>
      </c>
      <c r="AH9" s="57" t="str">
        <f>IF(AH$4&lt;Packages!$K$10,"",IF(AH$4&lt;=EOMONTH(Packages!$K$10,Packages!$L$10-1),"D",IF(AH$4&lt;=EOMONTH(Packages!$K$10,Packages!$L$10+Packages!$M$10-1),"B",IF(AH$4&lt;=EOMONTH(Packages!$K$10,Packages!$L$10+Packages!$M$10+Packages!$N$10-1),"U",IF(AH$4&lt;=EOMONTH(Packages!$K$10,Packages!$L$10+Packages!$M$10+Packages!$N$10+Packages!$O$10-1),"G",IF(AH$4&lt;=EOMONTH(Packages!$K$10,Packages!$L$10+Packages!$M$10+Packages!$N$10+Packages!$O$10+Packages!$P$10-1),"S",""))))))</f>
        <v>S</v>
      </c>
      <c r="AI9" s="57" t="str">
        <f>IF(AI$4&lt;Packages!$K$10,"",IF(AI$4&lt;=EOMONTH(Packages!$K$10,Packages!$L$10-1),"D",IF(AI$4&lt;=EOMONTH(Packages!$K$10,Packages!$L$10+Packages!$M$10-1),"B",IF(AI$4&lt;=EOMONTH(Packages!$K$10,Packages!$L$10+Packages!$M$10+Packages!$N$10-1),"U",IF(AI$4&lt;=EOMONTH(Packages!$K$10,Packages!$L$10+Packages!$M$10+Packages!$N$10+Packages!$O$10-1),"G",IF(AI$4&lt;=EOMONTH(Packages!$K$10,Packages!$L$10+Packages!$M$10+Packages!$N$10+Packages!$O$10+Packages!$P$10-1),"S",""))))))</f>
        <v>S</v>
      </c>
      <c r="AJ9" s="57" t="str">
        <f>IF(AJ$4&lt;Packages!$K$10,"",IF(AJ$4&lt;=EOMONTH(Packages!$K$10,Packages!$L$10-1),"D",IF(AJ$4&lt;=EOMONTH(Packages!$K$10,Packages!$L$10+Packages!$M$10-1),"B",IF(AJ$4&lt;=EOMONTH(Packages!$K$10,Packages!$L$10+Packages!$M$10+Packages!$N$10-1),"U",IF(AJ$4&lt;=EOMONTH(Packages!$K$10,Packages!$L$10+Packages!$M$10+Packages!$N$10+Packages!$O$10-1),"G",IF(AJ$4&lt;=EOMONTH(Packages!$K$10,Packages!$L$10+Packages!$M$10+Packages!$N$10+Packages!$O$10+Packages!$P$10-1),"S",""))))))</f>
        <v/>
      </c>
      <c r="AK9" s="57" t="str">
        <f>IF(AK$4&lt;Packages!$K$10,"",IF(AK$4&lt;=EOMONTH(Packages!$K$10,Packages!$L$10-1),"D",IF(AK$4&lt;=EOMONTH(Packages!$K$10,Packages!$L$10+Packages!$M$10-1),"B",IF(AK$4&lt;=EOMONTH(Packages!$K$10,Packages!$L$10+Packages!$M$10+Packages!$N$10-1),"U",IF(AK$4&lt;=EOMONTH(Packages!$K$10,Packages!$L$10+Packages!$M$10+Packages!$N$10+Packages!$O$10-1),"G",IF(AK$4&lt;=EOMONTH(Packages!$K$10,Packages!$L$10+Packages!$M$10+Packages!$N$10+Packages!$O$10+Packages!$P$10-1),"S",""))))))</f>
        <v/>
      </c>
      <c r="AL9" s="57" t="str">
        <f>IF(AL$4&lt;Packages!$K$10,"",IF(AL$4&lt;=EOMONTH(Packages!$K$10,Packages!$L$10-1),"D",IF(AL$4&lt;=EOMONTH(Packages!$K$10,Packages!$L$10+Packages!$M$10-1),"B",IF(AL$4&lt;=EOMONTH(Packages!$K$10,Packages!$L$10+Packages!$M$10+Packages!$N$10-1),"U",IF(AL$4&lt;=EOMONTH(Packages!$K$10,Packages!$L$10+Packages!$M$10+Packages!$N$10+Packages!$O$10-1),"G",IF(AL$4&lt;=EOMONTH(Packages!$K$10,Packages!$L$10+Packages!$M$10+Packages!$N$10+Packages!$O$10+Packages!$P$10-1),"S",""))))))</f>
        <v/>
      </c>
      <c r="AM9" s="57" t="str">
        <f>IF(AM$4&lt;Packages!$K$10,"",IF(AM$4&lt;=EOMONTH(Packages!$K$10,Packages!$L$10-1),"D",IF(AM$4&lt;=EOMONTH(Packages!$K$10,Packages!$L$10+Packages!$M$10-1),"B",IF(AM$4&lt;=EOMONTH(Packages!$K$10,Packages!$L$10+Packages!$M$10+Packages!$N$10-1),"U",IF(AM$4&lt;=EOMONTH(Packages!$K$10,Packages!$L$10+Packages!$M$10+Packages!$N$10+Packages!$O$10-1),"G",IF(AM$4&lt;=EOMONTH(Packages!$K$10,Packages!$L$10+Packages!$M$10+Packages!$N$10+Packages!$O$10+Packages!$P$10-1),"S",""))))))</f>
        <v/>
      </c>
      <c r="AN9" s="57" t="str">
        <f>IF(AN$4&lt;Packages!$K$10,"",IF(AN$4&lt;=EOMONTH(Packages!$K$10,Packages!$L$10-1),"D",IF(AN$4&lt;=EOMONTH(Packages!$K$10,Packages!$L$10+Packages!$M$10-1),"B",IF(AN$4&lt;=EOMONTH(Packages!$K$10,Packages!$L$10+Packages!$M$10+Packages!$N$10-1),"U",IF(AN$4&lt;=EOMONTH(Packages!$K$10,Packages!$L$10+Packages!$M$10+Packages!$N$10+Packages!$O$10-1),"G",IF(AN$4&lt;=EOMONTH(Packages!$K$10,Packages!$L$10+Packages!$M$10+Packages!$N$10+Packages!$O$10+Packages!$P$10-1),"S",""))))))</f>
        <v/>
      </c>
      <c r="AO9" s="57" t="str">
        <f>IF(AO$4&lt;Packages!$K$10,"",IF(AO$4&lt;=EOMONTH(Packages!$K$10,Packages!$L$10-1),"D",IF(AO$4&lt;=EOMONTH(Packages!$K$10,Packages!$L$10+Packages!$M$10-1),"B",IF(AO$4&lt;=EOMONTH(Packages!$K$10,Packages!$L$10+Packages!$M$10+Packages!$N$10-1),"U",IF(AO$4&lt;=EOMONTH(Packages!$K$10,Packages!$L$10+Packages!$M$10+Packages!$N$10+Packages!$O$10-1),"G",IF(AO$4&lt;=EOMONTH(Packages!$K$10,Packages!$L$10+Packages!$M$10+Packages!$N$10+Packages!$O$10+Packages!$P$10-1),"S",""))))))</f>
        <v/>
      </c>
    </row>
    <row r="10" spans="1:41" ht="30" customHeight="1" x14ac:dyDescent="0.3">
      <c r="A10" s="9" t="str">
        <f>Packages!A11</f>
        <v>WP6</v>
      </c>
      <c r="B10" s="10" t="str">
        <f>Packages!B11</f>
        <v>Halal certification, LPG / Fuel station registration, Case Management</v>
      </c>
      <c r="C10" s="57" t="str">
        <f>IF(C$4&lt;Packages!$K$11,"",IF(C$4&lt;=EOMONTH(Packages!$K$11,Packages!$L$11-1),"D",IF(C$4&lt;=EOMONTH(Packages!$K$11,Packages!$L$11+Packages!$M$11-1),"B",IF(C$4&lt;=EOMONTH(Packages!$K$11,Packages!$L$11+Packages!$M$11+Packages!$N$11-1),"U",IF(C$4&lt;=EOMONTH(Packages!$K$11,Packages!$L$11+Packages!$M$11+Packages!$N$11+Packages!$O$11-1),"G",IF(C$4&lt;=EOMONTH(Packages!$K$11,Packages!$L$11+Packages!$M$11+Packages!$N$11+Packages!$O$11+Packages!$P$11-1),"S",""))))))</f>
        <v/>
      </c>
      <c r="D10" s="57" t="str">
        <f>IF(D$4&lt;Packages!$K$11,"",IF(D$4&lt;=EOMONTH(Packages!$K$11,Packages!$L$11-1),"D",IF(D$4&lt;=EOMONTH(Packages!$K$11,Packages!$L$11+Packages!$M$11-1),"B",IF(D$4&lt;=EOMONTH(Packages!$K$11,Packages!$L$11+Packages!$M$11+Packages!$N$11-1),"U",IF(D$4&lt;=EOMONTH(Packages!$K$11,Packages!$L$11+Packages!$M$11+Packages!$N$11+Packages!$O$11-1),"G",IF(D$4&lt;=EOMONTH(Packages!$K$11,Packages!$L$11+Packages!$M$11+Packages!$N$11+Packages!$O$11+Packages!$P$11-1),"S",""))))))</f>
        <v/>
      </c>
      <c r="E10" s="57" t="str">
        <f>IF(E$4&lt;Packages!$K$11,"",IF(E$4&lt;=EOMONTH(Packages!$K$11,Packages!$L$11-1),"D",IF(E$4&lt;=EOMONTH(Packages!$K$11,Packages!$L$11+Packages!$M$11-1),"B",IF(E$4&lt;=EOMONTH(Packages!$K$11,Packages!$L$11+Packages!$M$11+Packages!$N$11-1),"U",IF(E$4&lt;=EOMONTH(Packages!$K$11,Packages!$L$11+Packages!$M$11+Packages!$N$11+Packages!$O$11-1),"G",IF(E$4&lt;=EOMONTH(Packages!$K$11,Packages!$L$11+Packages!$M$11+Packages!$N$11+Packages!$O$11+Packages!$P$11-1),"S",""))))))</f>
        <v/>
      </c>
      <c r="F10" s="57" t="str">
        <f>IF(F$4&lt;Packages!$K$11,"",IF(F$4&lt;=EOMONTH(Packages!$K$11,Packages!$L$11-1),"D",IF(F$4&lt;=EOMONTH(Packages!$K$11,Packages!$L$11+Packages!$M$11-1),"B",IF(F$4&lt;=EOMONTH(Packages!$K$11,Packages!$L$11+Packages!$M$11+Packages!$N$11-1),"U",IF(F$4&lt;=EOMONTH(Packages!$K$11,Packages!$L$11+Packages!$M$11+Packages!$N$11+Packages!$O$11-1),"G",IF(F$4&lt;=EOMONTH(Packages!$K$11,Packages!$L$11+Packages!$M$11+Packages!$N$11+Packages!$O$11+Packages!$P$11-1),"S",""))))))</f>
        <v/>
      </c>
      <c r="G10" s="57" t="str">
        <f>IF(G$4&lt;Packages!$K$11,"",IF(G$4&lt;=EOMONTH(Packages!$K$11,Packages!$L$11-1),"D",IF(G$4&lt;=EOMONTH(Packages!$K$11,Packages!$L$11+Packages!$M$11-1),"B",IF(G$4&lt;=EOMONTH(Packages!$K$11,Packages!$L$11+Packages!$M$11+Packages!$N$11-1),"U",IF(G$4&lt;=EOMONTH(Packages!$K$11,Packages!$L$11+Packages!$M$11+Packages!$N$11+Packages!$O$11-1),"G",IF(G$4&lt;=EOMONTH(Packages!$K$11,Packages!$L$11+Packages!$M$11+Packages!$N$11+Packages!$O$11+Packages!$P$11-1),"S",""))))))</f>
        <v/>
      </c>
      <c r="H10" s="57" t="str">
        <f>IF(H$4&lt;Packages!$K$11,"",IF(H$4&lt;=EOMONTH(Packages!$K$11,Packages!$L$11-1),"D",IF(H$4&lt;=EOMONTH(Packages!$K$11,Packages!$L$11+Packages!$M$11-1),"B",IF(H$4&lt;=EOMONTH(Packages!$K$11,Packages!$L$11+Packages!$M$11+Packages!$N$11-1),"U",IF(H$4&lt;=EOMONTH(Packages!$K$11,Packages!$L$11+Packages!$M$11+Packages!$N$11+Packages!$O$11-1),"G",IF(H$4&lt;=EOMONTH(Packages!$K$11,Packages!$L$11+Packages!$M$11+Packages!$N$11+Packages!$O$11+Packages!$P$11-1),"S",""))))))</f>
        <v/>
      </c>
      <c r="I10" s="57" t="str">
        <f>IF(I$4&lt;Packages!$K$11,"",IF(I$4&lt;=EOMONTH(Packages!$K$11,Packages!$L$11-1),"D",IF(I$4&lt;=EOMONTH(Packages!$K$11,Packages!$L$11+Packages!$M$11-1),"B",IF(I$4&lt;=EOMONTH(Packages!$K$11,Packages!$L$11+Packages!$M$11+Packages!$N$11-1),"U",IF(I$4&lt;=EOMONTH(Packages!$K$11,Packages!$L$11+Packages!$M$11+Packages!$N$11+Packages!$O$11-1),"G",IF(I$4&lt;=EOMONTH(Packages!$K$11,Packages!$L$11+Packages!$M$11+Packages!$N$11+Packages!$O$11+Packages!$P$11-1),"S",""))))))</f>
        <v/>
      </c>
      <c r="J10" s="57" t="str">
        <f>IF(J$4&lt;Packages!$K$11,"",IF(J$4&lt;=EOMONTH(Packages!$K$11,Packages!$L$11-1),"D",IF(J$4&lt;=EOMONTH(Packages!$K$11,Packages!$L$11+Packages!$M$11-1),"B",IF(J$4&lt;=EOMONTH(Packages!$K$11,Packages!$L$11+Packages!$M$11+Packages!$N$11-1),"U",IF(J$4&lt;=EOMONTH(Packages!$K$11,Packages!$L$11+Packages!$M$11+Packages!$N$11+Packages!$O$11-1),"G",IF(J$4&lt;=EOMONTH(Packages!$K$11,Packages!$L$11+Packages!$M$11+Packages!$N$11+Packages!$O$11+Packages!$P$11-1),"S",""))))))</f>
        <v/>
      </c>
      <c r="K10" s="57" t="str">
        <f>IF(K$4&lt;Packages!$K$11,"",IF(K$4&lt;=EOMONTH(Packages!$K$11,Packages!$L$11-1),"D",IF(K$4&lt;=EOMONTH(Packages!$K$11,Packages!$L$11+Packages!$M$11-1),"B",IF(K$4&lt;=EOMONTH(Packages!$K$11,Packages!$L$11+Packages!$M$11+Packages!$N$11-1),"U",IF(K$4&lt;=EOMONTH(Packages!$K$11,Packages!$L$11+Packages!$M$11+Packages!$N$11+Packages!$O$11-1),"G",IF(K$4&lt;=EOMONTH(Packages!$K$11,Packages!$L$11+Packages!$M$11+Packages!$N$11+Packages!$O$11+Packages!$P$11-1),"S",""))))))</f>
        <v/>
      </c>
      <c r="L10" s="57" t="str">
        <f>IF(L$4&lt;Packages!$K$11,"",IF(L$4&lt;=EOMONTH(Packages!$K$11,Packages!$L$11-1),"D",IF(L$4&lt;=EOMONTH(Packages!$K$11,Packages!$L$11+Packages!$M$11-1),"B",IF(L$4&lt;=EOMONTH(Packages!$K$11,Packages!$L$11+Packages!$M$11+Packages!$N$11-1),"U",IF(L$4&lt;=EOMONTH(Packages!$K$11,Packages!$L$11+Packages!$M$11+Packages!$N$11+Packages!$O$11-1),"G",IF(L$4&lt;=EOMONTH(Packages!$K$11,Packages!$L$11+Packages!$M$11+Packages!$N$11+Packages!$O$11+Packages!$P$11-1),"S",""))))))</f>
        <v/>
      </c>
      <c r="M10" s="57" t="str">
        <f>IF(M$4&lt;Packages!$K$11,"",IF(M$4&lt;=EOMONTH(Packages!$K$11,Packages!$L$11-1),"D",IF(M$4&lt;=EOMONTH(Packages!$K$11,Packages!$L$11+Packages!$M$11-1),"B",IF(M$4&lt;=EOMONTH(Packages!$K$11,Packages!$L$11+Packages!$M$11+Packages!$N$11-1),"U",IF(M$4&lt;=EOMONTH(Packages!$K$11,Packages!$L$11+Packages!$M$11+Packages!$N$11+Packages!$O$11-1),"G",IF(M$4&lt;=EOMONTH(Packages!$K$11,Packages!$L$11+Packages!$M$11+Packages!$N$11+Packages!$O$11+Packages!$P$11-1),"S",""))))))</f>
        <v/>
      </c>
      <c r="N10" s="57" t="str">
        <f>IF(N$4&lt;Packages!$K$11,"",IF(N$4&lt;=EOMONTH(Packages!$K$11,Packages!$L$11-1),"D",IF(N$4&lt;=EOMONTH(Packages!$K$11,Packages!$L$11+Packages!$M$11-1),"B",IF(N$4&lt;=EOMONTH(Packages!$K$11,Packages!$L$11+Packages!$M$11+Packages!$N$11-1),"U",IF(N$4&lt;=EOMONTH(Packages!$K$11,Packages!$L$11+Packages!$M$11+Packages!$N$11+Packages!$O$11-1),"G",IF(N$4&lt;=EOMONTH(Packages!$K$11,Packages!$L$11+Packages!$M$11+Packages!$N$11+Packages!$O$11+Packages!$P$11-1),"S",""))))))</f>
        <v/>
      </c>
      <c r="O10" s="57" t="str">
        <f>IF(O$4&lt;Packages!$K$11,"",IF(O$4&lt;=EOMONTH(Packages!$K$11,Packages!$L$11-1),"D",IF(O$4&lt;=EOMONTH(Packages!$K$11,Packages!$L$11+Packages!$M$11-1),"B",IF(O$4&lt;=EOMONTH(Packages!$K$11,Packages!$L$11+Packages!$M$11+Packages!$N$11-1),"U",IF(O$4&lt;=EOMONTH(Packages!$K$11,Packages!$L$11+Packages!$M$11+Packages!$N$11+Packages!$O$11-1),"G",IF(O$4&lt;=EOMONTH(Packages!$K$11,Packages!$L$11+Packages!$M$11+Packages!$N$11+Packages!$O$11+Packages!$P$11-1),"S",""))))))</f>
        <v/>
      </c>
      <c r="P10" s="57" t="str">
        <f>IF(P$4&lt;Packages!$K$11,"",IF(P$4&lt;=EOMONTH(Packages!$K$11,Packages!$L$11-1),"D",IF(P$4&lt;=EOMONTH(Packages!$K$11,Packages!$L$11+Packages!$M$11-1),"B",IF(P$4&lt;=EOMONTH(Packages!$K$11,Packages!$L$11+Packages!$M$11+Packages!$N$11-1),"U",IF(P$4&lt;=EOMONTH(Packages!$K$11,Packages!$L$11+Packages!$M$11+Packages!$N$11+Packages!$O$11-1),"G",IF(P$4&lt;=EOMONTH(Packages!$K$11,Packages!$L$11+Packages!$M$11+Packages!$N$11+Packages!$O$11+Packages!$P$11-1),"S",""))))))</f>
        <v/>
      </c>
      <c r="Q10" s="57" t="str">
        <f>IF(Q$4&lt;Packages!$K$11,"",IF(Q$4&lt;=EOMONTH(Packages!$K$11,Packages!$L$11-1),"D",IF(Q$4&lt;=EOMONTH(Packages!$K$11,Packages!$L$11+Packages!$M$11-1),"B",IF(Q$4&lt;=EOMONTH(Packages!$K$11,Packages!$L$11+Packages!$M$11+Packages!$N$11-1),"U",IF(Q$4&lt;=EOMONTH(Packages!$K$11,Packages!$L$11+Packages!$M$11+Packages!$N$11+Packages!$O$11-1),"G",IF(Q$4&lt;=EOMONTH(Packages!$K$11,Packages!$L$11+Packages!$M$11+Packages!$N$11+Packages!$O$11+Packages!$P$11-1),"S",""))))))</f>
        <v/>
      </c>
      <c r="R10" s="57" t="str">
        <f>IF(R$4&lt;Packages!$K$11,"",IF(R$4&lt;=EOMONTH(Packages!$K$11,Packages!$L$11-1),"D",IF(R$4&lt;=EOMONTH(Packages!$K$11,Packages!$L$11+Packages!$M$11-1),"B",IF(R$4&lt;=EOMONTH(Packages!$K$11,Packages!$L$11+Packages!$M$11+Packages!$N$11-1),"U",IF(R$4&lt;=EOMONTH(Packages!$K$11,Packages!$L$11+Packages!$M$11+Packages!$N$11+Packages!$O$11-1),"G",IF(R$4&lt;=EOMONTH(Packages!$K$11,Packages!$L$11+Packages!$M$11+Packages!$N$11+Packages!$O$11+Packages!$P$11-1),"S",""))))))</f>
        <v/>
      </c>
      <c r="S10" s="57" t="str">
        <f>IF(S$4&lt;Packages!$K$11,"",IF(S$4&lt;=EOMONTH(Packages!$K$11,Packages!$L$11-1),"D",IF(S$4&lt;=EOMONTH(Packages!$K$11,Packages!$L$11+Packages!$M$11-1),"B",IF(S$4&lt;=EOMONTH(Packages!$K$11,Packages!$L$11+Packages!$M$11+Packages!$N$11-1),"U",IF(S$4&lt;=EOMONTH(Packages!$K$11,Packages!$L$11+Packages!$M$11+Packages!$N$11+Packages!$O$11-1),"G",IF(S$4&lt;=EOMONTH(Packages!$K$11,Packages!$L$11+Packages!$M$11+Packages!$N$11+Packages!$O$11+Packages!$P$11-1),"S",""))))))</f>
        <v/>
      </c>
      <c r="T10" s="57" t="str">
        <f>IF(T$4&lt;Packages!$K$11,"",IF(T$4&lt;=EOMONTH(Packages!$K$11,Packages!$L$11-1),"D",IF(T$4&lt;=EOMONTH(Packages!$K$11,Packages!$L$11+Packages!$M$11-1),"B",IF(T$4&lt;=EOMONTH(Packages!$K$11,Packages!$L$11+Packages!$M$11+Packages!$N$11-1),"U",IF(T$4&lt;=EOMONTH(Packages!$K$11,Packages!$L$11+Packages!$M$11+Packages!$N$11+Packages!$O$11-1),"G",IF(T$4&lt;=EOMONTH(Packages!$K$11,Packages!$L$11+Packages!$M$11+Packages!$N$11+Packages!$O$11+Packages!$P$11-1),"S",""))))))</f>
        <v/>
      </c>
      <c r="U10" s="57" t="str">
        <f>IF(U$4&lt;Packages!$K$11,"",IF(U$4&lt;=EOMONTH(Packages!$K$11,Packages!$L$11-1),"D",IF(U$4&lt;=EOMONTH(Packages!$K$11,Packages!$L$11+Packages!$M$11-1),"B",IF(U$4&lt;=EOMONTH(Packages!$K$11,Packages!$L$11+Packages!$M$11+Packages!$N$11-1),"U",IF(U$4&lt;=EOMONTH(Packages!$K$11,Packages!$L$11+Packages!$M$11+Packages!$N$11+Packages!$O$11-1),"G",IF(U$4&lt;=EOMONTH(Packages!$K$11,Packages!$L$11+Packages!$M$11+Packages!$N$11+Packages!$O$11+Packages!$P$11-1),"S",""))))))</f>
        <v/>
      </c>
      <c r="V10" s="57" t="str">
        <f>IF(V$4&lt;Packages!$K$11,"",IF(V$4&lt;=EOMONTH(Packages!$K$11,Packages!$L$11-1),"D",IF(V$4&lt;=EOMONTH(Packages!$K$11,Packages!$L$11+Packages!$M$11-1),"B",IF(V$4&lt;=EOMONTH(Packages!$K$11,Packages!$L$11+Packages!$M$11+Packages!$N$11-1),"U",IF(V$4&lt;=EOMONTH(Packages!$K$11,Packages!$L$11+Packages!$M$11+Packages!$N$11+Packages!$O$11-1),"G",IF(V$4&lt;=EOMONTH(Packages!$K$11,Packages!$L$11+Packages!$M$11+Packages!$N$11+Packages!$O$11+Packages!$P$11-1),"S",""))))))</f>
        <v/>
      </c>
      <c r="W10" s="57" t="str">
        <f>IF(W$4&lt;Packages!$K$11,"",IF(W$4&lt;=EOMONTH(Packages!$K$11,Packages!$L$11-1),"D",IF(W$4&lt;=EOMONTH(Packages!$K$11,Packages!$L$11+Packages!$M$11-1),"B",IF(W$4&lt;=EOMONTH(Packages!$K$11,Packages!$L$11+Packages!$M$11+Packages!$N$11-1),"U",IF(W$4&lt;=EOMONTH(Packages!$K$11,Packages!$L$11+Packages!$M$11+Packages!$N$11+Packages!$O$11-1),"G",IF(W$4&lt;=EOMONTH(Packages!$K$11,Packages!$L$11+Packages!$M$11+Packages!$N$11+Packages!$O$11+Packages!$P$11-1),"S",""))))))</f>
        <v/>
      </c>
      <c r="X10" s="57" t="str">
        <f>IF(X$4&lt;Packages!$K$11,"",IF(X$4&lt;=EOMONTH(Packages!$K$11,Packages!$L$11-1),"D",IF(X$4&lt;=EOMONTH(Packages!$K$11,Packages!$L$11+Packages!$M$11-1),"B",IF(X$4&lt;=EOMONTH(Packages!$K$11,Packages!$L$11+Packages!$M$11+Packages!$N$11-1),"U",IF(X$4&lt;=EOMONTH(Packages!$K$11,Packages!$L$11+Packages!$M$11+Packages!$N$11+Packages!$O$11-1),"G",IF(X$4&lt;=EOMONTH(Packages!$K$11,Packages!$L$11+Packages!$M$11+Packages!$N$11+Packages!$O$11+Packages!$P$11-1),"S",""))))))</f>
        <v/>
      </c>
      <c r="Y10" s="57" t="str">
        <f>IF(Y$4&lt;Packages!$K$11,"",IF(Y$4&lt;=EOMONTH(Packages!$K$11,Packages!$L$11-1),"D",IF(Y$4&lt;=EOMONTH(Packages!$K$11,Packages!$L$11+Packages!$M$11-1),"B",IF(Y$4&lt;=EOMONTH(Packages!$K$11,Packages!$L$11+Packages!$M$11+Packages!$N$11-1),"U",IF(Y$4&lt;=EOMONTH(Packages!$K$11,Packages!$L$11+Packages!$M$11+Packages!$N$11+Packages!$O$11-1),"G",IF(Y$4&lt;=EOMONTH(Packages!$K$11,Packages!$L$11+Packages!$M$11+Packages!$N$11+Packages!$O$11+Packages!$P$11-1),"S",""))))))</f>
        <v/>
      </c>
      <c r="Z10" s="57" t="str">
        <f>IF(Z$4&lt;Packages!$K$11,"",IF(Z$4&lt;=EOMONTH(Packages!$K$11,Packages!$L$11-1),"D",IF(Z$4&lt;=EOMONTH(Packages!$K$11,Packages!$L$11+Packages!$M$11-1),"B",IF(Z$4&lt;=EOMONTH(Packages!$K$11,Packages!$L$11+Packages!$M$11+Packages!$N$11-1),"U",IF(Z$4&lt;=EOMONTH(Packages!$K$11,Packages!$L$11+Packages!$M$11+Packages!$N$11+Packages!$O$11-1),"G",IF(Z$4&lt;=EOMONTH(Packages!$K$11,Packages!$L$11+Packages!$M$11+Packages!$N$11+Packages!$O$11+Packages!$P$11-1),"S",""))))))</f>
        <v/>
      </c>
      <c r="AA10" s="57" t="str">
        <f>IF(AA$4&lt;Packages!$K$11,"",IF(AA$4&lt;=EOMONTH(Packages!$K$11,Packages!$L$11-1),"D",IF(AA$4&lt;=EOMONTH(Packages!$K$11,Packages!$L$11+Packages!$M$11-1),"B",IF(AA$4&lt;=EOMONTH(Packages!$K$11,Packages!$L$11+Packages!$M$11+Packages!$N$11-1),"U",IF(AA$4&lt;=EOMONTH(Packages!$K$11,Packages!$L$11+Packages!$M$11+Packages!$N$11+Packages!$O$11-1),"G",IF(AA$4&lt;=EOMONTH(Packages!$K$11,Packages!$L$11+Packages!$M$11+Packages!$N$11+Packages!$O$11+Packages!$P$11-1),"S",""))))))</f>
        <v>D</v>
      </c>
      <c r="AB10" s="57" t="str">
        <f>IF(AB$4&lt;Packages!$K$11,"",IF(AB$4&lt;=EOMONTH(Packages!$K$11,Packages!$L$11-1),"D",IF(AB$4&lt;=EOMONTH(Packages!$K$11,Packages!$L$11+Packages!$M$11-1),"B",IF(AB$4&lt;=EOMONTH(Packages!$K$11,Packages!$L$11+Packages!$M$11+Packages!$N$11-1),"U",IF(AB$4&lt;=EOMONTH(Packages!$K$11,Packages!$L$11+Packages!$M$11+Packages!$N$11+Packages!$O$11-1),"G",IF(AB$4&lt;=EOMONTH(Packages!$K$11,Packages!$L$11+Packages!$M$11+Packages!$N$11+Packages!$O$11+Packages!$P$11-1),"S",""))))))</f>
        <v>D</v>
      </c>
      <c r="AC10" s="57" t="str">
        <f>IF(AC$4&lt;Packages!$K$11,"",IF(AC$4&lt;=EOMONTH(Packages!$K$11,Packages!$L$11-1),"D",IF(AC$4&lt;=EOMONTH(Packages!$K$11,Packages!$L$11+Packages!$M$11-1),"B",IF(AC$4&lt;=EOMONTH(Packages!$K$11,Packages!$L$11+Packages!$M$11+Packages!$N$11-1),"U",IF(AC$4&lt;=EOMONTH(Packages!$K$11,Packages!$L$11+Packages!$M$11+Packages!$N$11+Packages!$O$11-1),"G",IF(AC$4&lt;=EOMONTH(Packages!$K$11,Packages!$L$11+Packages!$M$11+Packages!$N$11+Packages!$O$11+Packages!$P$11-1),"S",""))))))</f>
        <v>B</v>
      </c>
      <c r="AD10" s="57" t="str">
        <f>IF(AD$4&lt;Packages!$K$11,"",IF(AD$4&lt;=EOMONTH(Packages!$K$11,Packages!$L$11-1),"D",IF(AD$4&lt;=EOMONTH(Packages!$K$11,Packages!$L$11+Packages!$M$11-1),"B",IF(AD$4&lt;=EOMONTH(Packages!$K$11,Packages!$L$11+Packages!$M$11+Packages!$N$11-1),"U",IF(AD$4&lt;=EOMONTH(Packages!$K$11,Packages!$L$11+Packages!$M$11+Packages!$N$11+Packages!$O$11-1),"G",IF(AD$4&lt;=EOMONTH(Packages!$K$11,Packages!$L$11+Packages!$M$11+Packages!$N$11+Packages!$O$11+Packages!$P$11-1),"S",""))))))</f>
        <v>B</v>
      </c>
      <c r="AE10" s="57" t="str">
        <f>IF(AE$4&lt;Packages!$K$11,"",IF(AE$4&lt;=EOMONTH(Packages!$K$11,Packages!$L$11-1),"D",IF(AE$4&lt;=EOMONTH(Packages!$K$11,Packages!$L$11+Packages!$M$11-1),"B",IF(AE$4&lt;=EOMONTH(Packages!$K$11,Packages!$L$11+Packages!$M$11+Packages!$N$11-1),"U",IF(AE$4&lt;=EOMONTH(Packages!$K$11,Packages!$L$11+Packages!$M$11+Packages!$N$11+Packages!$O$11-1),"G",IF(AE$4&lt;=EOMONTH(Packages!$K$11,Packages!$L$11+Packages!$M$11+Packages!$N$11+Packages!$O$11+Packages!$P$11-1),"S",""))))))</f>
        <v>B</v>
      </c>
      <c r="AF10" s="57" t="str">
        <f>IF(AF$4&lt;Packages!$K$11,"",IF(AF$4&lt;=EOMONTH(Packages!$K$11,Packages!$L$11-1),"D",IF(AF$4&lt;=EOMONTH(Packages!$K$11,Packages!$L$11+Packages!$M$11-1),"B",IF(AF$4&lt;=EOMONTH(Packages!$K$11,Packages!$L$11+Packages!$M$11+Packages!$N$11-1),"U",IF(AF$4&lt;=EOMONTH(Packages!$K$11,Packages!$L$11+Packages!$M$11+Packages!$N$11+Packages!$O$11-1),"G",IF(AF$4&lt;=EOMONTH(Packages!$K$11,Packages!$L$11+Packages!$M$11+Packages!$N$11+Packages!$O$11+Packages!$P$11-1),"S",""))))))</f>
        <v>B</v>
      </c>
      <c r="AG10" s="57" t="str">
        <f>IF(AG$4&lt;Packages!$K$11,"",IF(AG$4&lt;=EOMONTH(Packages!$K$11,Packages!$L$11-1),"D",IF(AG$4&lt;=EOMONTH(Packages!$K$11,Packages!$L$11+Packages!$M$11-1),"B",IF(AG$4&lt;=EOMONTH(Packages!$K$11,Packages!$L$11+Packages!$M$11+Packages!$N$11-1),"U",IF(AG$4&lt;=EOMONTH(Packages!$K$11,Packages!$L$11+Packages!$M$11+Packages!$N$11+Packages!$O$11-1),"G",IF(AG$4&lt;=EOMONTH(Packages!$K$11,Packages!$L$11+Packages!$M$11+Packages!$N$11+Packages!$O$11+Packages!$P$11-1),"S",""))))))</f>
        <v>B</v>
      </c>
      <c r="AH10" s="57" t="str">
        <f>IF(AH$4&lt;Packages!$K$11,"",IF(AH$4&lt;=EOMONTH(Packages!$K$11,Packages!$L$11-1),"D",IF(AH$4&lt;=EOMONTH(Packages!$K$11,Packages!$L$11+Packages!$M$11-1),"B",IF(AH$4&lt;=EOMONTH(Packages!$K$11,Packages!$L$11+Packages!$M$11+Packages!$N$11-1),"U",IF(AH$4&lt;=EOMONTH(Packages!$K$11,Packages!$L$11+Packages!$M$11+Packages!$N$11+Packages!$O$11-1),"G",IF(AH$4&lt;=EOMONTH(Packages!$K$11,Packages!$L$11+Packages!$M$11+Packages!$N$11+Packages!$O$11+Packages!$P$11-1),"S",""))))))</f>
        <v>U</v>
      </c>
      <c r="AI10" s="57" t="str">
        <f>IF(AI$4&lt;Packages!$K$11,"",IF(AI$4&lt;=EOMONTH(Packages!$K$11,Packages!$L$11-1),"D",IF(AI$4&lt;=EOMONTH(Packages!$K$11,Packages!$L$11+Packages!$M$11-1),"B",IF(AI$4&lt;=EOMONTH(Packages!$K$11,Packages!$L$11+Packages!$M$11+Packages!$N$11-1),"U",IF(AI$4&lt;=EOMONTH(Packages!$K$11,Packages!$L$11+Packages!$M$11+Packages!$N$11+Packages!$O$11-1),"G",IF(AI$4&lt;=EOMONTH(Packages!$K$11,Packages!$L$11+Packages!$M$11+Packages!$N$11+Packages!$O$11+Packages!$P$11-1),"S",""))))))</f>
        <v>G</v>
      </c>
      <c r="AJ10" s="57" t="str">
        <f>IF(AJ$4&lt;Packages!$K$11,"",IF(AJ$4&lt;=EOMONTH(Packages!$K$11,Packages!$L$11-1),"D",IF(AJ$4&lt;=EOMONTH(Packages!$K$11,Packages!$L$11+Packages!$M$11-1),"B",IF(AJ$4&lt;=EOMONTH(Packages!$K$11,Packages!$L$11+Packages!$M$11+Packages!$N$11-1),"U",IF(AJ$4&lt;=EOMONTH(Packages!$K$11,Packages!$L$11+Packages!$M$11+Packages!$N$11+Packages!$O$11-1),"G",IF(AJ$4&lt;=EOMONTH(Packages!$K$11,Packages!$L$11+Packages!$M$11+Packages!$N$11+Packages!$O$11+Packages!$P$11-1),"S",""))))))</f>
        <v>S</v>
      </c>
      <c r="AK10" s="57" t="str">
        <f>IF(AK$4&lt;Packages!$K$11,"",IF(AK$4&lt;=EOMONTH(Packages!$K$11,Packages!$L$11-1),"D",IF(AK$4&lt;=EOMONTH(Packages!$K$11,Packages!$L$11+Packages!$M$11-1),"B",IF(AK$4&lt;=EOMONTH(Packages!$K$11,Packages!$L$11+Packages!$M$11+Packages!$N$11-1),"U",IF(AK$4&lt;=EOMONTH(Packages!$K$11,Packages!$L$11+Packages!$M$11+Packages!$N$11+Packages!$O$11-1),"G",IF(AK$4&lt;=EOMONTH(Packages!$K$11,Packages!$L$11+Packages!$M$11+Packages!$N$11+Packages!$O$11+Packages!$P$11-1),"S",""))))))</f>
        <v>S</v>
      </c>
      <c r="AL10" s="57" t="str">
        <f>IF(AL$4&lt;Packages!$K$11,"",IF(AL$4&lt;=EOMONTH(Packages!$K$11,Packages!$L$11-1),"D",IF(AL$4&lt;=EOMONTH(Packages!$K$11,Packages!$L$11+Packages!$M$11-1),"B",IF(AL$4&lt;=EOMONTH(Packages!$K$11,Packages!$L$11+Packages!$M$11+Packages!$N$11-1),"U",IF(AL$4&lt;=EOMONTH(Packages!$K$11,Packages!$L$11+Packages!$M$11+Packages!$N$11+Packages!$O$11-1),"G",IF(AL$4&lt;=EOMONTH(Packages!$K$11,Packages!$L$11+Packages!$M$11+Packages!$N$11+Packages!$O$11+Packages!$P$11-1),"S",""))))))</f>
        <v>S</v>
      </c>
      <c r="AM10" s="57" t="str">
        <f>IF(AM$4&lt;Packages!$K$11,"",IF(AM$4&lt;=EOMONTH(Packages!$K$11,Packages!$L$11-1),"D",IF(AM$4&lt;=EOMONTH(Packages!$K$11,Packages!$L$11+Packages!$M$11-1),"B",IF(AM$4&lt;=EOMONTH(Packages!$K$11,Packages!$L$11+Packages!$M$11+Packages!$N$11-1),"U",IF(AM$4&lt;=EOMONTH(Packages!$K$11,Packages!$L$11+Packages!$M$11+Packages!$N$11+Packages!$O$11-1),"G",IF(AM$4&lt;=EOMONTH(Packages!$K$11,Packages!$L$11+Packages!$M$11+Packages!$N$11+Packages!$O$11+Packages!$P$11-1),"S",""))))))</f>
        <v/>
      </c>
      <c r="AN10" s="57" t="str">
        <f>IF(AN$4&lt;Packages!$K$11,"",IF(AN$4&lt;=EOMONTH(Packages!$K$11,Packages!$L$11-1),"D",IF(AN$4&lt;=EOMONTH(Packages!$K$11,Packages!$L$11+Packages!$M$11-1),"B",IF(AN$4&lt;=EOMONTH(Packages!$K$11,Packages!$L$11+Packages!$M$11+Packages!$N$11-1),"U",IF(AN$4&lt;=EOMONTH(Packages!$K$11,Packages!$L$11+Packages!$M$11+Packages!$N$11+Packages!$O$11-1),"G",IF(AN$4&lt;=EOMONTH(Packages!$K$11,Packages!$L$11+Packages!$M$11+Packages!$N$11+Packages!$O$11+Packages!$P$11-1),"S",""))))))</f>
        <v/>
      </c>
      <c r="AO10" s="57" t="str">
        <f>IF(AO$4&lt;Packages!$K$11,"",IF(AO$4&lt;=EOMONTH(Packages!$K$11,Packages!$L$11-1),"D",IF(AO$4&lt;=EOMONTH(Packages!$K$11,Packages!$L$11+Packages!$M$11-1),"B",IF(AO$4&lt;=EOMONTH(Packages!$K$11,Packages!$L$11+Packages!$M$11+Packages!$N$11-1),"U",IF(AO$4&lt;=EOMONTH(Packages!$K$11,Packages!$L$11+Packages!$M$11+Packages!$N$11+Packages!$O$11-1),"G",IF(AO$4&lt;=EOMONTH(Packages!$K$11,Packages!$L$11+Packages!$M$11+Packages!$N$11+Packages!$O$11+Packages!$P$11-1),"S",""))))))</f>
        <v/>
      </c>
    </row>
    <row r="11" spans="1:41" ht="30" customHeight="1" x14ac:dyDescent="0.3">
      <c r="A11" s="9" t="str">
        <f>Packages!A12</f>
        <v>WP7</v>
      </c>
      <c r="B11" s="10" t="str">
        <f>Packages!B12</f>
        <v>I&amp;S Metrology Calibration (NML), Building measurement, BSW API integration, Importer/Exporter certificates*</v>
      </c>
      <c r="C11" s="57" t="str">
        <f>IF(C$4&lt;Packages!$K$12,"",IF(C$4&lt;=EOMONTH(Packages!$K$12,Packages!$L$12-1),"D",IF(C$4&lt;=EOMONTH(Packages!$K$12,Packages!$L$12+Packages!$M$12-1),"B",IF(C$4&lt;=EOMONTH(Packages!$K$12,Packages!$L$12+Packages!$M$12+Packages!$N$12-1),"U",IF(C$4&lt;=EOMONTH(Packages!$K$12,Packages!$L$12+Packages!$M$12+Packages!$N$12+Packages!$O$12-1),"G",IF(C$4&lt;=EOMONTH(Packages!$K$12,Packages!$L$12+Packages!$M$12+Packages!$N$12+Packages!$O$12+Packages!$P$12-1),"S",""))))))</f>
        <v/>
      </c>
      <c r="D11" s="57" t="str">
        <f>IF(D$4&lt;Packages!$K$12,"",IF(D$4&lt;=EOMONTH(Packages!$K$12,Packages!$L$12-1),"D",IF(D$4&lt;=EOMONTH(Packages!$K$12,Packages!$L$12+Packages!$M$12-1),"B",IF(D$4&lt;=EOMONTH(Packages!$K$12,Packages!$L$12+Packages!$M$12+Packages!$N$12-1),"U",IF(D$4&lt;=EOMONTH(Packages!$K$12,Packages!$L$12+Packages!$M$12+Packages!$N$12+Packages!$O$12-1),"G",IF(D$4&lt;=EOMONTH(Packages!$K$12,Packages!$L$12+Packages!$M$12+Packages!$N$12+Packages!$O$12+Packages!$P$12-1),"S",""))))))</f>
        <v/>
      </c>
      <c r="E11" s="57" t="str">
        <f>IF(E$4&lt;Packages!$K$12,"",IF(E$4&lt;=EOMONTH(Packages!$K$12,Packages!$L$12-1),"D",IF(E$4&lt;=EOMONTH(Packages!$K$12,Packages!$L$12+Packages!$M$12-1),"B",IF(E$4&lt;=EOMONTH(Packages!$K$12,Packages!$L$12+Packages!$M$12+Packages!$N$12-1),"U",IF(E$4&lt;=EOMONTH(Packages!$K$12,Packages!$L$12+Packages!$M$12+Packages!$N$12+Packages!$O$12-1),"G",IF(E$4&lt;=EOMONTH(Packages!$K$12,Packages!$L$12+Packages!$M$12+Packages!$N$12+Packages!$O$12+Packages!$P$12-1),"S",""))))))</f>
        <v/>
      </c>
      <c r="F11" s="57" t="str">
        <f>IF(F$4&lt;Packages!$K$12,"",IF(F$4&lt;=EOMONTH(Packages!$K$12,Packages!$L$12-1),"D",IF(F$4&lt;=EOMONTH(Packages!$K$12,Packages!$L$12+Packages!$M$12-1),"B",IF(F$4&lt;=EOMONTH(Packages!$K$12,Packages!$L$12+Packages!$M$12+Packages!$N$12-1),"U",IF(F$4&lt;=EOMONTH(Packages!$K$12,Packages!$L$12+Packages!$M$12+Packages!$N$12+Packages!$O$12-1),"G",IF(F$4&lt;=EOMONTH(Packages!$K$12,Packages!$L$12+Packages!$M$12+Packages!$N$12+Packages!$O$12+Packages!$P$12-1),"S",""))))))</f>
        <v/>
      </c>
      <c r="G11" s="57" t="str">
        <f>IF(G$4&lt;Packages!$K$12,"",IF(G$4&lt;=EOMONTH(Packages!$K$12,Packages!$L$12-1),"D",IF(G$4&lt;=EOMONTH(Packages!$K$12,Packages!$L$12+Packages!$M$12-1),"B",IF(G$4&lt;=EOMONTH(Packages!$K$12,Packages!$L$12+Packages!$M$12+Packages!$N$12-1),"U",IF(G$4&lt;=EOMONTH(Packages!$K$12,Packages!$L$12+Packages!$M$12+Packages!$N$12+Packages!$O$12-1),"G",IF(G$4&lt;=EOMONTH(Packages!$K$12,Packages!$L$12+Packages!$M$12+Packages!$N$12+Packages!$O$12+Packages!$P$12-1),"S",""))))))</f>
        <v/>
      </c>
      <c r="H11" s="57" t="str">
        <f>IF(H$4&lt;Packages!$K$12,"",IF(H$4&lt;=EOMONTH(Packages!$K$12,Packages!$L$12-1),"D",IF(H$4&lt;=EOMONTH(Packages!$K$12,Packages!$L$12+Packages!$M$12-1),"B",IF(H$4&lt;=EOMONTH(Packages!$K$12,Packages!$L$12+Packages!$M$12+Packages!$N$12-1),"U",IF(H$4&lt;=EOMONTH(Packages!$K$12,Packages!$L$12+Packages!$M$12+Packages!$N$12+Packages!$O$12-1),"G",IF(H$4&lt;=EOMONTH(Packages!$K$12,Packages!$L$12+Packages!$M$12+Packages!$N$12+Packages!$O$12+Packages!$P$12-1),"S",""))))))</f>
        <v/>
      </c>
      <c r="I11" s="57" t="str">
        <f>IF(I$4&lt;Packages!$K$12,"",IF(I$4&lt;=EOMONTH(Packages!$K$12,Packages!$L$12-1),"D",IF(I$4&lt;=EOMONTH(Packages!$K$12,Packages!$L$12+Packages!$M$12-1),"B",IF(I$4&lt;=EOMONTH(Packages!$K$12,Packages!$L$12+Packages!$M$12+Packages!$N$12-1),"U",IF(I$4&lt;=EOMONTH(Packages!$K$12,Packages!$L$12+Packages!$M$12+Packages!$N$12+Packages!$O$12-1),"G",IF(I$4&lt;=EOMONTH(Packages!$K$12,Packages!$L$12+Packages!$M$12+Packages!$N$12+Packages!$O$12+Packages!$P$12-1),"S",""))))))</f>
        <v/>
      </c>
      <c r="J11" s="57" t="str">
        <f>IF(J$4&lt;Packages!$K$12,"",IF(J$4&lt;=EOMONTH(Packages!$K$12,Packages!$L$12-1),"D",IF(J$4&lt;=EOMONTH(Packages!$K$12,Packages!$L$12+Packages!$M$12-1),"B",IF(J$4&lt;=EOMONTH(Packages!$K$12,Packages!$L$12+Packages!$M$12+Packages!$N$12-1),"U",IF(J$4&lt;=EOMONTH(Packages!$K$12,Packages!$L$12+Packages!$M$12+Packages!$N$12+Packages!$O$12-1),"G",IF(J$4&lt;=EOMONTH(Packages!$K$12,Packages!$L$12+Packages!$M$12+Packages!$N$12+Packages!$O$12+Packages!$P$12-1),"S",""))))))</f>
        <v/>
      </c>
      <c r="K11" s="57" t="str">
        <f>IF(K$4&lt;Packages!$K$12,"",IF(K$4&lt;=EOMONTH(Packages!$K$12,Packages!$L$12-1),"D",IF(K$4&lt;=EOMONTH(Packages!$K$12,Packages!$L$12+Packages!$M$12-1),"B",IF(K$4&lt;=EOMONTH(Packages!$K$12,Packages!$L$12+Packages!$M$12+Packages!$N$12-1),"U",IF(K$4&lt;=EOMONTH(Packages!$K$12,Packages!$L$12+Packages!$M$12+Packages!$N$12+Packages!$O$12-1),"G",IF(K$4&lt;=EOMONTH(Packages!$K$12,Packages!$L$12+Packages!$M$12+Packages!$N$12+Packages!$O$12+Packages!$P$12-1),"S",""))))))</f>
        <v/>
      </c>
      <c r="L11" s="57" t="str">
        <f>IF(L$4&lt;Packages!$K$12,"",IF(L$4&lt;=EOMONTH(Packages!$K$12,Packages!$L$12-1),"D",IF(L$4&lt;=EOMONTH(Packages!$K$12,Packages!$L$12+Packages!$M$12-1),"B",IF(L$4&lt;=EOMONTH(Packages!$K$12,Packages!$L$12+Packages!$M$12+Packages!$N$12-1),"U",IF(L$4&lt;=EOMONTH(Packages!$K$12,Packages!$L$12+Packages!$M$12+Packages!$N$12+Packages!$O$12-1),"G",IF(L$4&lt;=EOMONTH(Packages!$K$12,Packages!$L$12+Packages!$M$12+Packages!$N$12+Packages!$O$12+Packages!$P$12-1),"S",""))))))</f>
        <v/>
      </c>
      <c r="M11" s="57" t="str">
        <f>IF(M$4&lt;Packages!$K$12,"",IF(M$4&lt;=EOMONTH(Packages!$K$12,Packages!$L$12-1),"D",IF(M$4&lt;=EOMONTH(Packages!$K$12,Packages!$L$12+Packages!$M$12-1),"B",IF(M$4&lt;=EOMONTH(Packages!$K$12,Packages!$L$12+Packages!$M$12+Packages!$N$12-1),"U",IF(M$4&lt;=EOMONTH(Packages!$K$12,Packages!$L$12+Packages!$M$12+Packages!$N$12+Packages!$O$12-1),"G",IF(M$4&lt;=EOMONTH(Packages!$K$12,Packages!$L$12+Packages!$M$12+Packages!$N$12+Packages!$O$12+Packages!$P$12-1),"S",""))))))</f>
        <v/>
      </c>
      <c r="N11" s="57" t="str">
        <f>IF(N$4&lt;Packages!$K$12,"",IF(N$4&lt;=EOMONTH(Packages!$K$12,Packages!$L$12-1),"D",IF(N$4&lt;=EOMONTH(Packages!$K$12,Packages!$L$12+Packages!$M$12-1),"B",IF(N$4&lt;=EOMONTH(Packages!$K$12,Packages!$L$12+Packages!$M$12+Packages!$N$12-1),"U",IF(N$4&lt;=EOMONTH(Packages!$K$12,Packages!$L$12+Packages!$M$12+Packages!$N$12+Packages!$O$12-1),"G",IF(N$4&lt;=EOMONTH(Packages!$K$12,Packages!$L$12+Packages!$M$12+Packages!$N$12+Packages!$O$12+Packages!$P$12-1),"S",""))))))</f>
        <v/>
      </c>
      <c r="O11" s="57" t="str">
        <f>IF(O$4&lt;Packages!$K$12,"",IF(O$4&lt;=EOMONTH(Packages!$K$12,Packages!$L$12-1),"D",IF(O$4&lt;=EOMONTH(Packages!$K$12,Packages!$L$12+Packages!$M$12-1),"B",IF(O$4&lt;=EOMONTH(Packages!$K$12,Packages!$L$12+Packages!$M$12+Packages!$N$12-1),"U",IF(O$4&lt;=EOMONTH(Packages!$K$12,Packages!$L$12+Packages!$M$12+Packages!$N$12+Packages!$O$12-1),"G",IF(O$4&lt;=EOMONTH(Packages!$K$12,Packages!$L$12+Packages!$M$12+Packages!$N$12+Packages!$O$12+Packages!$P$12-1),"S",""))))))</f>
        <v/>
      </c>
      <c r="P11" s="57" t="str">
        <f>IF(P$4&lt;Packages!$K$12,"",IF(P$4&lt;=EOMONTH(Packages!$K$12,Packages!$L$12-1),"D",IF(P$4&lt;=EOMONTH(Packages!$K$12,Packages!$L$12+Packages!$M$12-1),"B",IF(P$4&lt;=EOMONTH(Packages!$K$12,Packages!$L$12+Packages!$M$12+Packages!$N$12-1),"U",IF(P$4&lt;=EOMONTH(Packages!$K$12,Packages!$L$12+Packages!$M$12+Packages!$N$12+Packages!$O$12-1),"G",IF(P$4&lt;=EOMONTH(Packages!$K$12,Packages!$L$12+Packages!$M$12+Packages!$N$12+Packages!$O$12+Packages!$P$12-1),"S",""))))))</f>
        <v/>
      </c>
      <c r="Q11" s="57" t="str">
        <f>IF(Q$4&lt;Packages!$K$12,"",IF(Q$4&lt;=EOMONTH(Packages!$K$12,Packages!$L$12-1),"D",IF(Q$4&lt;=EOMONTH(Packages!$K$12,Packages!$L$12+Packages!$M$12-1),"B",IF(Q$4&lt;=EOMONTH(Packages!$K$12,Packages!$L$12+Packages!$M$12+Packages!$N$12-1),"U",IF(Q$4&lt;=EOMONTH(Packages!$K$12,Packages!$L$12+Packages!$M$12+Packages!$N$12+Packages!$O$12-1),"G",IF(Q$4&lt;=EOMONTH(Packages!$K$12,Packages!$L$12+Packages!$M$12+Packages!$N$12+Packages!$O$12+Packages!$P$12-1),"S",""))))))</f>
        <v/>
      </c>
      <c r="R11" s="57" t="str">
        <f>IF(R$4&lt;Packages!$K$12,"",IF(R$4&lt;=EOMONTH(Packages!$K$12,Packages!$L$12-1),"D",IF(R$4&lt;=EOMONTH(Packages!$K$12,Packages!$L$12+Packages!$M$12-1),"B",IF(R$4&lt;=EOMONTH(Packages!$K$12,Packages!$L$12+Packages!$M$12+Packages!$N$12-1),"U",IF(R$4&lt;=EOMONTH(Packages!$K$12,Packages!$L$12+Packages!$M$12+Packages!$N$12+Packages!$O$12-1),"G",IF(R$4&lt;=EOMONTH(Packages!$K$12,Packages!$L$12+Packages!$M$12+Packages!$N$12+Packages!$O$12+Packages!$P$12-1),"S",""))))))</f>
        <v/>
      </c>
      <c r="S11" s="57" t="str">
        <f>IF(S$4&lt;Packages!$K$12,"",IF(S$4&lt;=EOMONTH(Packages!$K$12,Packages!$L$12-1),"D",IF(S$4&lt;=EOMONTH(Packages!$K$12,Packages!$L$12+Packages!$M$12-1),"B",IF(S$4&lt;=EOMONTH(Packages!$K$12,Packages!$L$12+Packages!$M$12+Packages!$N$12-1),"U",IF(S$4&lt;=EOMONTH(Packages!$K$12,Packages!$L$12+Packages!$M$12+Packages!$N$12+Packages!$O$12-1),"G",IF(S$4&lt;=EOMONTH(Packages!$K$12,Packages!$L$12+Packages!$M$12+Packages!$N$12+Packages!$O$12+Packages!$P$12-1),"S",""))))))</f>
        <v/>
      </c>
      <c r="T11" s="57" t="str">
        <f>IF(T$4&lt;Packages!$K$12,"",IF(T$4&lt;=EOMONTH(Packages!$K$12,Packages!$L$12-1),"D",IF(T$4&lt;=EOMONTH(Packages!$K$12,Packages!$L$12+Packages!$M$12-1),"B",IF(T$4&lt;=EOMONTH(Packages!$K$12,Packages!$L$12+Packages!$M$12+Packages!$N$12-1),"U",IF(T$4&lt;=EOMONTH(Packages!$K$12,Packages!$L$12+Packages!$M$12+Packages!$N$12+Packages!$O$12-1),"G",IF(T$4&lt;=EOMONTH(Packages!$K$12,Packages!$L$12+Packages!$M$12+Packages!$N$12+Packages!$O$12+Packages!$P$12-1),"S",""))))))</f>
        <v/>
      </c>
      <c r="U11" s="57" t="str">
        <f>IF(U$4&lt;Packages!$K$12,"",IF(U$4&lt;=EOMONTH(Packages!$K$12,Packages!$L$12-1),"D",IF(U$4&lt;=EOMONTH(Packages!$K$12,Packages!$L$12+Packages!$M$12-1),"B",IF(U$4&lt;=EOMONTH(Packages!$K$12,Packages!$L$12+Packages!$M$12+Packages!$N$12-1),"U",IF(U$4&lt;=EOMONTH(Packages!$K$12,Packages!$L$12+Packages!$M$12+Packages!$N$12+Packages!$O$12-1),"G",IF(U$4&lt;=EOMONTH(Packages!$K$12,Packages!$L$12+Packages!$M$12+Packages!$N$12+Packages!$O$12+Packages!$P$12-1),"S",""))))))</f>
        <v/>
      </c>
      <c r="V11" s="57" t="str">
        <f>IF(V$4&lt;Packages!$K$12,"",IF(V$4&lt;=EOMONTH(Packages!$K$12,Packages!$L$12-1),"D",IF(V$4&lt;=EOMONTH(Packages!$K$12,Packages!$L$12+Packages!$M$12-1),"B",IF(V$4&lt;=EOMONTH(Packages!$K$12,Packages!$L$12+Packages!$M$12+Packages!$N$12-1),"U",IF(V$4&lt;=EOMONTH(Packages!$K$12,Packages!$L$12+Packages!$M$12+Packages!$N$12+Packages!$O$12-1),"G",IF(V$4&lt;=EOMONTH(Packages!$K$12,Packages!$L$12+Packages!$M$12+Packages!$N$12+Packages!$O$12+Packages!$P$12-1),"S",""))))))</f>
        <v/>
      </c>
      <c r="W11" s="57" t="str">
        <f>IF(W$4&lt;Packages!$K$12,"",IF(W$4&lt;=EOMONTH(Packages!$K$12,Packages!$L$12-1),"D",IF(W$4&lt;=EOMONTH(Packages!$K$12,Packages!$L$12+Packages!$M$12-1),"B",IF(W$4&lt;=EOMONTH(Packages!$K$12,Packages!$L$12+Packages!$M$12+Packages!$N$12-1),"U",IF(W$4&lt;=EOMONTH(Packages!$K$12,Packages!$L$12+Packages!$M$12+Packages!$N$12+Packages!$O$12-1),"G",IF(W$4&lt;=EOMONTH(Packages!$K$12,Packages!$L$12+Packages!$M$12+Packages!$N$12+Packages!$O$12+Packages!$P$12-1),"S",""))))))</f>
        <v/>
      </c>
      <c r="X11" s="57" t="str">
        <f>IF(X$4&lt;Packages!$K$12,"",IF(X$4&lt;=EOMONTH(Packages!$K$12,Packages!$L$12-1),"D",IF(X$4&lt;=EOMONTH(Packages!$K$12,Packages!$L$12+Packages!$M$12-1),"B",IF(X$4&lt;=EOMONTH(Packages!$K$12,Packages!$L$12+Packages!$M$12+Packages!$N$12-1),"U",IF(X$4&lt;=EOMONTH(Packages!$K$12,Packages!$L$12+Packages!$M$12+Packages!$N$12+Packages!$O$12-1),"G",IF(X$4&lt;=EOMONTH(Packages!$K$12,Packages!$L$12+Packages!$M$12+Packages!$N$12+Packages!$O$12+Packages!$P$12-1),"S",""))))))</f>
        <v/>
      </c>
      <c r="Y11" s="57" t="str">
        <f>IF(Y$4&lt;Packages!$K$12,"",IF(Y$4&lt;=EOMONTH(Packages!$K$12,Packages!$L$12-1),"D",IF(Y$4&lt;=EOMONTH(Packages!$K$12,Packages!$L$12+Packages!$M$12-1),"B",IF(Y$4&lt;=EOMONTH(Packages!$K$12,Packages!$L$12+Packages!$M$12+Packages!$N$12-1),"U",IF(Y$4&lt;=EOMONTH(Packages!$K$12,Packages!$L$12+Packages!$M$12+Packages!$N$12+Packages!$O$12-1),"G",IF(Y$4&lt;=EOMONTH(Packages!$K$12,Packages!$L$12+Packages!$M$12+Packages!$N$12+Packages!$O$12+Packages!$P$12-1),"S",""))))))</f>
        <v/>
      </c>
      <c r="Z11" s="57" t="str">
        <f>IF(Z$4&lt;Packages!$K$12,"",IF(Z$4&lt;=EOMONTH(Packages!$K$12,Packages!$L$12-1),"D",IF(Z$4&lt;=EOMONTH(Packages!$K$12,Packages!$L$12+Packages!$M$12-1),"B",IF(Z$4&lt;=EOMONTH(Packages!$K$12,Packages!$L$12+Packages!$M$12+Packages!$N$12-1),"U",IF(Z$4&lt;=EOMONTH(Packages!$K$12,Packages!$L$12+Packages!$M$12+Packages!$N$12+Packages!$O$12-1),"G",IF(Z$4&lt;=EOMONTH(Packages!$K$12,Packages!$L$12+Packages!$M$12+Packages!$N$12+Packages!$O$12+Packages!$P$12-1),"S",""))))))</f>
        <v/>
      </c>
      <c r="AA11" s="57" t="str">
        <f>IF(AA$4&lt;Packages!$K$12,"",IF(AA$4&lt;=EOMONTH(Packages!$K$12,Packages!$L$12-1),"D",IF(AA$4&lt;=EOMONTH(Packages!$K$12,Packages!$L$12+Packages!$M$12-1),"B",IF(AA$4&lt;=EOMONTH(Packages!$K$12,Packages!$L$12+Packages!$M$12+Packages!$N$12-1),"U",IF(AA$4&lt;=EOMONTH(Packages!$K$12,Packages!$L$12+Packages!$M$12+Packages!$N$12+Packages!$O$12-1),"G",IF(AA$4&lt;=EOMONTH(Packages!$K$12,Packages!$L$12+Packages!$M$12+Packages!$N$12+Packages!$O$12+Packages!$P$12-1),"S",""))))))</f>
        <v/>
      </c>
      <c r="AB11" s="57" t="str">
        <f>IF(AB$4&lt;Packages!$K$12,"",IF(AB$4&lt;=EOMONTH(Packages!$K$12,Packages!$L$12-1),"D",IF(AB$4&lt;=EOMONTH(Packages!$K$12,Packages!$L$12+Packages!$M$12-1),"B",IF(AB$4&lt;=EOMONTH(Packages!$K$12,Packages!$L$12+Packages!$M$12+Packages!$N$12-1),"U",IF(AB$4&lt;=EOMONTH(Packages!$K$12,Packages!$L$12+Packages!$M$12+Packages!$N$12+Packages!$O$12-1),"G",IF(AB$4&lt;=EOMONTH(Packages!$K$12,Packages!$L$12+Packages!$M$12+Packages!$N$12+Packages!$O$12+Packages!$P$12-1),"S",""))))))</f>
        <v/>
      </c>
      <c r="AC11" s="57" t="str">
        <f>IF(AC$4&lt;Packages!$K$12,"",IF(AC$4&lt;=EOMONTH(Packages!$K$12,Packages!$L$12-1),"D",IF(AC$4&lt;=EOMONTH(Packages!$K$12,Packages!$L$12+Packages!$M$12-1),"B",IF(AC$4&lt;=EOMONTH(Packages!$K$12,Packages!$L$12+Packages!$M$12+Packages!$N$12-1),"U",IF(AC$4&lt;=EOMONTH(Packages!$K$12,Packages!$L$12+Packages!$M$12+Packages!$N$12+Packages!$O$12-1),"G",IF(AC$4&lt;=EOMONTH(Packages!$K$12,Packages!$L$12+Packages!$M$12+Packages!$N$12+Packages!$O$12+Packages!$P$12-1),"S",""))))))</f>
        <v/>
      </c>
      <c r="AD11" s="57" t="str">
        <f>IF(AD$4&lt;Packages!$K$12,"",IF(AD$4&lt;=EOMONTH(Packages!$K$12,Packages!$L$12-1),"D",IF(AD$4&lt;=EOMONTH(Packages!$K$12,Packages!$L$12+Packages!$M$12-1),"B",IF(AD$4&lt;=EOMONTH(Packages!$K$12,Packages!$L$12+Packages!$M$12+Packages!$N$12-1),"U",IF(AD$4&lt;=EOMONTH(Packages!$K$12,Packages!$L$12+Packages!$M$12+Packages!$N$12+Packages!$O$12-1),"G",IF(AD$4&lt;=EOMONTH(Packages!$K$12,Packages!$L$12+Packages!$M$12+Packages!$N$12+Packages!$O$12+Packages!$P$12-1),"S",""))))))</f>
        <v>D</v>
      </c>
      <c r="AE11" s="57" t="str">
        <f>IF(AE$4&lt;Packages!$K$12,"",IF(AE$4&lt;=EOMONTH(Packages!$K$12,Packages!$L$12-1),"D",IF(AE$4&lt;=EOMONTH(Packages!$K$12,Packages!$L$12+Packages!$M$12-1),"B",IF(AE$4&lt;=EOMONTH(Packages!$K$12,Packages!$L$12+Packages!$M$12+Packages!$N$12-1),"U",IF(AE$4&lt;=EOMONTH(Packages!$K$12,Packages!$L$12+Packages!$M$12+Packages!$N$12+Packages!$O$12-1),"G",IF(AE$4&lt;=EOMONTH(Packages!$K$12,Packages!$L$12+Packages!$M$12+Packages!$N$12+Packages!$O$12+Packages!$P$12-1),"S",""))))))</f>
        <v>D</v>
      </c>
      <c r="AF11" s="57" t="str">
        <f>IF(AF$4&lt;Packages!$K$12,"",IF(AF$4&lt;=EOMONTH(Packages!$K$12,Packages!$L$12-1),"D",IF(AF$4&lt;=EOMONTH(Packages!$K$12,Packages!$L$12+Packages!$M$12-1),"B",IF(AF$4&lt;=EOMONTH(Packages!$K$12,Packages!$L$12+Packages!$M$12+Packages!$N$12-1),"U",IF(AF$4&lt;=EOMONTH(Packages!$K$12,Packages!$L$12+Packages!$M$12+Packages!$N$12+Packages!$O$12-1),"G",IF(AF$4&lt;=EOMONTH(Packages!$K$12,Packages!$L$12+Packages!$M$12+Packages!$N$12+Packages!$O$12+Packages!$P$12-1),"S",""))))))</f>
        <v>B</v>
      </c>
      <c r="AG11" s="57" t="str">
        <f>IF(AG$4&lt;Packages!$K$12,"",IF(AG$4&lt;=EOMONTH(Packages!$K$12,Packages!$L$12-1),"D",IF(AG$4&lt;=EOMONTH(Packages!$K$12,Packages!$L$12+Packages!$M$12-1),"B",IF(AG$4&lt;=EOMONTH(Packages!$K$12,Packages!$L$12+Packages!$M$12+Packages!$N$12-1),"U",IF(AG$4&lt;=EOMONTH(Packages!$K$12,Packages!$L$12+Packages!$M$12+Packages!$N$12+Packages!$O$12-1),"G",IF(AG$4&lt;=EOMONTH(Packages!$K$12,Packages!$L$12+Packages!$M$12+Packages!$N$12+Packages!$O$12+Packages!$P$12-1),"S",""))))))</f>
        <v>B</v>
      </c>
      <c r="AH11" s="57" t="str">
        <f>IF(AH$4&lt;Packages!$K$12,"",IF(AH$4&lt;=EOMONTH(Packages!$K$12,Packages!$L$12-1),"D",IF(AH$4&lt;=EOMONTH(Packages!$K$12,Packages!$L$12+Packages!$M$12-1),"B",IF(AH$4&lt;=EOMONTH(Packages!$K$12,Packages!$L$12+Packages!$M$12+Packages!$N$12-1),"U",IF(AH$4&lt;=EOMONTH(Packages!$K$12,Packages!$L$12+Packages!$M$12+Packages!$N$12+Packages!$O$12-1),"G",IF(AH$4&lt;=EOMONTH(Packages!$K$12,Packages!$L$12+Packages!$M$12+Packages!$N$12+Packages!$O$12+Packages!$P$12-1),"S",""))))))</f>
        <v>B</v>
      </c>
      <c r="AI11" s="57" t="str">
        <f>IF(AI$4&lt;Packages!$K$12,"",IF(AI$4&lt;=EOMONTH(Packages!$K$12,Packages!$L$12-1),"D",IF(AI$4&lt;=EOMONTH(Packages!$K$12,Packages!$L$12+Packages!$M$12-1),"B",IF(AI$4&lt;=EOMONTH(Packages!$K$12,Packages!$L$12+Packages!$M$12+Packages!$N$12-1),"U",IF(AI$4&lt;=EOMONTH(Packages!$K$12,Packages!$L$12+Packages!$M$12+Packages!$N$12+Packages!$O$12-1),"G",IF(AI$4&lt;=EOMONTH(Packages!$K$12,Packages!$L$12+Packages!$M$12+Packages!$N$12+Packages!$O$12+Packages!$P$12-1),"S",""))))))</f>
        <v>B</v>
      </c>
      <c r="AJ11" s="57" t="str">
        <f>IF(AJ$4&lt;Packages!$K$12,"",IF(AJ$4&lt;=EOMONTH(Packages!$K$12,Packages!$L$12-1),"D",IF(AJ$4&lt;=EOMONTH(Packages!$K$12,Packages!$L$12+Packages!$M$12-1),"B",IF(AJ$4&lt;=EOMONTH(Packages!$K$12,Packages!$L$12+Packages!$M$12+Packages!$N$12-1),"U",IF(AJ$4&lt;=EOMONTH(Packages!$K$12,Packages!$L$12+Packages!$M$12+Packages!$N$12+Packages!$O$12-1),"G",IF(AJ$4&lt;=EOMONTH(Packages!$K$12,Packages!$L$12+Packages!$M$12+Packages!$N$12+Packages!$O$12+Packages!$P$12-1),"S",""))))))</f>
        <v>B</v>
      </c>
      <c r="AK11" s="57" t="str">
        <f>IF(AK$4&lt;Packages!$K$12,"",IF(AK$4&lt;=EOMONTH(Packages!$K$12,Packages!$L$12-1),"D",IF(AK$4&lt;=EOMONTH(Packages!$K$12,Packages!$L$12+Packages!$M$12-1),"B",IF(AK$4&lt;=EOMONTH(Packages!$K$12,Packages!$L$12+Packages!$M$12+Packages!$N$12-1),"U",IF(AK$4&lt;=EOMONTH(Packages!$K$12,Packages!$L$12+Packages!$M$12+Packages!$N$12+Packages!$O$12-1),"G",IF(AK$4&lt;=EOMONTH(Packages!$K$12,Packages!$L$12+Packages!$M$12+Packages!$N$12+Packages!$O$12+Packages!$P$12-1),"S",""))))))</f>
        <v>U</v>
      </c>
      <c r="AL11" s="57" t="str">
        <f>IF(AL$4&lt;Packages!$K$12,"",IF(AL$4&lt;=EOMONTH(Packages!$K$12,Packages!$L$12-1),"D",IF(AL$4&lt;=EOMONTH(Packages!$K$12,Packages!$L$12+Packages!$M$12-1),"B",IF(AL$4&lt;=EOMONTH(Packages!$K$12,Packages!$L$12+Packages!$M$12+Packages!$N$12-1),"U",IF(AL$4&lt;=EOMONTH(Packages!$K$12,Packages!$L$12+Packages!$M$12+Packages!$N$12+Packages!$O$12-1),"G",IF(AL$4&lt;=EOMONTH(Packages!$K$12,Packages!$L$12+Packages!$M$12+Packages!$N$12+Packages!$O$12+Packages!$P$12-1),"S",""))))))</f>
        <v>G</v>
      </c>
      <c r="AM11" s="57" t="str">
        <f>IF(AM$4&lt;Packages!$K$12,"",IF(AM$4&lt;=EOMONTH(Packages!$K$12,Packages!$L$12-1),"D",IF(AM$4&lt;=EOMONTH(Packages!$K$12,Packages!$L$12+Packages!$M$12-1),"B",IF(AM$4&lt;=EOMONTH(Packages!$K$12,Packages!$L$12+Packages!$M$12+Packages!$N$12-1),"U",IF(AM$4&lt;=EOMONTH(Packages!$K$12,Packages!$L$12+Packages!$M$12+Packages!$N$12+Packages!$O$12-1),"G",IF(AM$4&lt;=EOMONTH(Packages!$K$12,Packages!$L$12+Packages!$M$12+Packages!$N$12+Packages!$O$12+Packages!$P$12-1),"S",""))))))</f>
        <v>S</v>
      </c>
      <c r="AN11" s="57" t="str">
        <f>IF(AN$4&lt;Packages!$K$12,"",IF(AN$4&lt;=EOMONTH(Packages!$K$12,Packages!$L$12-1),"D",IF(AN$4&lt;=EOMONTH(Packages!$K$12,Packages!$L$12+Packages!$M$12-1),"B",IF(AN$4&lt;=EOMONTH(Packages!$K$12,Packages!$L$12+Packages!$M$12+Packages!$N$12-1),"U",IF(AN$4&lt;=EOMONTH(Packages!$K$12,Packages!$L$12+Packages!$M$12+Packages!$N$12+Packages!$O$12-1),"G",IF(AN$4&lt;=EOMONTH(Packages!$K$12,Packages!$L$12+Packages!$M$12+Packages!$N$12+Packages!$O$12+Packages!$P$12-1),"S",""))))))</f>
        <v>S</v>
      </c>
      <c r="AO11" s="57" t="str">
        <f>IF(AO$4&lt;Packages!$K$12,"",IF(AO$4&lt;=EOMONTH(Packages!$K$12,Packages!$L$12-1),"D",IF(AO$4&lt;=EOMONTH(Packages!$K$12,Packages!$L$12+Packages!$M$12-1),"B",IF(AO$4&lt;=EOMONTH(Packages!$K$12,Packages!$L$12+Packages!$M$12+Packages!$N$12-1),"U",IF(AO$4&lt;=EOMONTH(Packages!$K$12,Packages!$L$12+Packages!$M$12+Packages!$N$12+Packages!$O$12-1),"G",IF(AO$4&lt;=EOMONTH(Packages!$K$12,Packages!$L$12+Packages!$M$12+Packages!$N$12+Packages!$O$12+Packages!$P$12-1),"S",""))))))</f>
        <v>S</v>
      </c>
    </row>
    <row r="12" spans="1:41" x14ac:dyDescent="0.3">
      <c r="B12" s="2" t="s">
        <v>403</v>
      </c>
      <c r="C12" s="58">
        <f t="shared" ref="C12:AO12" si="0">COUNTIF(C5:C11,"D")+COUNTIF(C5:C11,"B")+COUNTIF(C5:C11,"U")+COUNTIF(C5:C11,"G")</f>
        <v>1</v>
      </c>
      <c r="D12" s="58">
        <f t="shared" si="0"/>
        <v>2</v>
      </c>
      <c r="E12" s="58">
        <f t="shared" si="0"/>
        <v>3</v>
      </c>
      <c r="F12" s="58">
        <f t="shared" si="0"/>
        <v>3</v>
      </c>
      <c r="G12" s="58">
        <f t="shared" si="0"/>
        <v>3</v>
      </c>
      <c r="H12" s="58">
        <f t="shared" si="0"/>
        <v>3</v>
      </c>
      <c r="I12" s="58">
        <f t="shared" si="0"/>
        <v>2</v>
      </c>
      <c r="J12" s="58">
        <f t="shared" si="0"/>
        <v>2</v>
      </c>
      <c r="K12" s="58">
        <f t="shared" si="0"/>
        <v>2</v>
      </c>
      <c r="L12" s="58">
        <f t="shared" si="0"/>
        <v>2</v>
      </c>
      <c r="M12" s="58">
        <f t="shared" si="0"/>
        <v>2</v>
      </c>
      <c r="N12" s="58">
        <f t="shared" si="0"/>
        <v>0</v>
      </c>
      <c r="O12" s="58">
        <f t="shared" si="0"/>
        <v>0</v>
      </c>
      <c r="P12" s="58">
        <f t="shared" si="0"/>
        <v>0</v>
      </c>
      <c r="Q12" s="58">
        <f t="shared" si="0"/>
        <v>0</v>
      </c>
      <c r="R12" s="58">
        <f t="shared" si="0"/>
        <v>1</v>
      </c>
      <c r="S12" s="58">
        <f t="shared" si="0"/>
        <v>1</v>
      </c>
      <c r="T12" s="58">
        <f t="shared" si="0"/>
        <v>1</v>
      </c>
      <c r="U12" s="58">
        <f t="shared" si="0"/>
        <v>1</v>
      </c>
      <c r="V12" s="58">
        <f t="shared" si="0"/>
        <v>1</v>
      </c>
      <c r="W12" s="58">
        <f t="shared" si="0"/>
        <v>1</v>
      </c>
      <c r="X12" s="58">
        <f t="shared" si="0"/>
        <v>2</v>
      </c>
      <c r="Y12" s="58">
        <f t="shared" si="0"/>
        <v>2</v>
      </c>
      <c r="Z12" s="58">
        <f t="shared" si="0"/>
        <v>2</v>
      </c>
      <c r="AA12" s="58">
        <f t="shared" si="0"/>
        <v>2</v>
      </c>
      <c r="AB12" s="58">
        <f t="shared" si="0"/>
        <v>2</v>
      </c>
      <c r="AC12" s="58">
        <f t="shared" si="0"/>
        <v>2</v>
      </c>
      <c r="AD12" s="58">
        <f t="shared" si="0"/>
        <v>3</v>
      </c>
      <c r="AE12" s="58">
        <f t="shared" si="0"/>
        <v>3</v>
      </c>
      <c r="AF12" s="58">
        <f t="shared" si="0"/>
        <v>3</v>
      </c>
      <c r="AG12" s="58">
        <f t="shared" si="0"/>
        <v>2</v>
      </c>
      <c r="AH12" s="58">
        <f t="shared" si="0"/>
        <v>2</v>
      </c>
      <c r="AI12" s="58">
        <f t="shared" si="0"/>
        <v>2</v>
      </c>
      <c r="AJ12" s="58">
        <f t="shared" si="0"/>
        <v>1</v>
      </c>
      <c r="AK12" s="58">
        <f t="shared" si="0"/>
        <v>1</v>
      </c>
      <c r="AL12" s="58">
        <f t="shared" si="0"/>
        <v>1</v>
      </c>
      <c r="AM12" s="58">
        <f t="shared" si="0"/>
        <v>0</v>
      </c>
      <c r="AN12" s="58">
        <f t="shared" si="0"/>
        <v>0</v>
      </c>
      <c r="AO12" s="58">
        <f t="shared" si="0"/>
        <v>0</v>
      </c>
    </row>
  </sheetData>
  <conditionalFormatting sqref="C5:AO11">
    <cfRule type="cellIs" dxfId="4" priority="1" operator="equal">
      <formula>"D"</formula>
    </cfRule>
    <cfRule type="cellIs" dxfId="3" priority="2" operator="equal">
      <formula>"B"</formula>
    </cfRule>
    <cfRule type="cellIs" dxfId="2" priority="3" operator="equal">
      <formula>"U"</formula>
    </cfRule>
    <cfRule type="cellIs" dxfId="1" priority="4" operator="equal">
      <formula>"G"</formula>
    </cfRule>
    <cfRule type="cellIs" dxfId="0" priority="5" operator="equal">
      <formula>"S"</formula>
    </cfRule>
  </conditionalFormatting>
  <pageMargins left="0.75" right="0.75" top="1" bottom="1" header="0.5" footer="0.5"/>
  <pageSetup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B24"/>
  <sheetViews>
    <sheetView showGridLines="0" workbookViewId="0"/>
  </sheetViews>
  <sheetFormatPr defaultRowHeight="14.4" x14ac:dyDescent="0.3"/>
  <cols>
    <col min="1" max="1" width="5" customWidth="1"/>
    <col min="2" max="2" width="130" customWidth="1"/>
  </cols>
  <sheetData>
    <row r="1" spans="1:2" ht="17.399999999999999" x14ac:dyDescent="0.3">
      <c r="A1" s="1" t="s">
        <v>404</v>
      </c>
    </row>
    <row r="3" spans="1:2" x14ac:dyDescent="0.3">
      <c r="A3" s="59" t="s">
        <v>405</v>
      </c>
    </row>
    <row r="4" spans="1:2" ht="28.05" customHeight="1" x14ac:dyDescent="0.3">
      <c r="A4" s="60">
        <v>1</v>
      </c>
      <c r="B4" s="61" t="s">
        <v>406</v>
      </c>
    </row>
    <row r="5" spans="1:2" ht="28.05" customHeight="1" x14ac:dyDescent="0.3">
      <c r="A5" s="60">
        <v>2</v>
      </c>
      <c r="B5" s="61" t="s">
        <v>407</v>
      </c>
    </row>
    <row r="6" spans="1:2" ht="28.05" customHeight="1" x14ac:dyDescent="0.3">
      <c r="A6" s="60">
        <v>3</v>
      </c>
      <c r="B6" s="61" t="s">
        <v>408</v>
      </c>
    </row>
    <row r="7" spans="1:2" ht="28.05" customHeight="1" x14ac:dyDescent="0.3">
      <c r="A7" s="60">
        <v>4</v>
      </c>
      <c r="B7" s="61" t="s">
        <v>409</v>
      </c>
    </row>
    <row r="8" spans="1:2" ht="28.05" customHeight="1" x14ac:dyDescent="0.3">
      <c r="A8" s="60">
        <v>5</v>
      </c>
      <c r="B8" s="61" t="s">
        <v>410</v>
      </c>
    </row>
    <row r="9" spans="1:2" ht="28.05" customHeight="1" x14ac:dyDescent="0.3">
      <c r="A9" s="60">
        <v>6</v>
      </c>
      <c r="B9" s="61" t="s">
        <v>411</v>
      </c>
    </row>
    <row r="10" spans="1:2" ht="28.05" customHeight="1" x14ac:dyDescent="0.3">
      <c r="A10" s="60">
        <v>7</v>
      </c>
      <c r="B10" s="61" t="s">
        <v>412</v>
      </c>
    </row>
    <row r="11" spans="1:2" x14ac:dyDescent="0.3">
      <c r="A11" s="59" t="s">
        <v>413</v>
      </c>
    </row>
    <row r="12" spans="1:2" ht="28.05" customHeight="1" x14ac:dyDescent="0.3">
      <c r="A12" s="60">
        <v>8</v>
      </c>
      <c r="B12" s="61" t="s">
        <v>414</v>
      </c>
    </row>
    <row r="13" spans="1:2" ht="28.05" customHeight="1" x14ac:dyDescent="0.3">
      <c r="A13" s="60">
        <v>9</v>
      </c>
      <c r="B13" s="61" t="s">
        <v>415</v>
      </c>
    </row>
    <row r="14" spans="1:2" ht="28.05" customHeight="1" x14ac:dyDescent="0.3">
      <c r="A14" s="60">
        <v>10</v>
      </c>
      <c r="B14" s="61" t="s">
        <v>416</v>
      </c>
    </row>
    <row r="15" spans="1:2" x14ac:dyDescent="0.3">
      <c r="A15" s="59" t="s">
        <v>417</v>
      </c>
    </row>
    <row r="16" spans="1:2" ht="28.05" customHeight="1" x14ac:dyDescent="0.3">
      <c r="A16" s="60">
        <v>11</v>
      </c>
      <c r="B16" s="61" t="s">
        <v>418</v>
      </c>
    </row>
    <row r="17" spans="1:2" ht="15" customHeight="1" x14ac:dyDescent="0.3">
      <c r="A17" s="60">
        <v>12</v>
      </c>
      <c r="B17" s="61" t="s">
        <v>419</v>
      </c>
    </row>
    <row r="18" spans="1:2" ht="28.05" customHeight="1" x14ac:dyDescent="0.3">
      <c r="A18" s="60">
        <v>13</v>
      </c>
      <c r="B18" s="61" t="s">
        <v>420</v>
      </c>
    </row>
    <row r="19" spans="1:2" ht="15" customHeight="1" x14ac:dyDescent="0.3">
      <c r="A19" s="60">
        <v>14</v>
      </c>
      <c r="B19" s="61" t="s">
        <v>421</v>
      </c>
    </row>
    <row r="20" spans="1:2" x14ac:dyDescent="0.3">
      <c r="A20" s="59" t="s">
        <v>422</v>
      </c>
    </row>
    <row r="21" spans="1:2" ht="28.05" customHeight="1" x14ac:dyDescent="0.3">
      <c r="A21" s="60">
        <v>15</v>
      </c>
      <c r="B21" s="61" t="s">
        <v>423</v>
      </c>
    </row>
    <row r="22" spans="1:2" ht="15" customHeight="1" x14ac:dyDescent="0.3">
      <c r="A22" s="60">
        <v>16</v>
      </c>
      <c r="B22" s="61" t="s">
        <v>424</v>
      </c>
    </row>
    <row r="23" spans="1:2" ht="15" customHeight="1" x14ac:dyDescent="0.3">
      <c r="A23" s="60">
        <v>17</v>
      </c>
      <c r="B23" s="61" t="s">
        <v>425</v>
      </c>
    </row>
    <row r="24" spans="1:2" ht="28.05" customHeight="1" x14ac:dyDescent="0.3">
      <c r="A24" s="60">
        <v>18</v>
      </c>
      <c r="B24" s="61" t="s">
        <v>426</v>
      </c>
    </row>
  </sheetData>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vt:lpstr>
      <vt:lpstr>Inputs</vt:lpstr>
      <vt:lpstr>Work Volume</vt:lpstr>
      <vt:lpstr>Packages</vt:lpstr>
      <vt:lpstr>Payment Schedule</vt:lpstr>
      <vt:lpstr>Original Offer</vt:lpstr>
      <vt:lpstr>Gantt</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AbdNahid</cp:lastModifiedBy>
  <dcterms:created xsi:type="dcterms:W3CDTF">2026-10-19T09:52:27Z</dcterms:created>
  <dcterms:modified xsi:type="dcterms:W3CDTF">2026-10-19T09:59:26Z</dcterms:modified>
</cp:coreProperties>
</file>