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34776" windowHeight="19656"/>
  </bookViews>
  <sheets>
    <sheet sheetId="1" name="Summary" state="visible" r:id="rId4"/>
    <sheet sheetId="2" name="Inputs" state="visible" r:id="rId5"/>
    <sheet sheetId="3" name="Work Volume" state="visible" r:id="rId6"/>
    <sheet sheetId="4" name="Packages" state="visible" r:id="rId7"/>
    <sheet sheetId="5" name="Payment Schedule" state="visible" r:id="rId8"/>
    <sheet sheetId="6" name="Original Offer" state="visible" r:id="rId9"/>
    <sheet sheetId="7" name="Gantt" state="visible" r:id="rId10"/>
    <sheet sheetId="8" name="Notes" state="visible" r:id="rId11"/>
  </sheets>
  <definedNames>
    <definedName name="_xlnm._FilterDatabase">'Work Volume'!$A$4:$Q$52</definedName>
  </definedNames>
  <calcPr calcId="171027"/>
</workbook>
</file>

<file path=xl/comments1.xml><?xml version="1.0" encoding="utf-8"?>
<comments xmlns="http://schemas.openxmlformats.org/spreadsheetml/2006/main">
  <authors>
    <author>Author</author>
  </authors>
  <commentList>
    <comment ref="O21" authorId="0">
      <text>
        <r>
          <t>Balancing item: takes the rounding of the other sub-levels so the block adds up exactly to the package value.</t>
        </r>
      </text>
    </comment>
    <comment ref="O26" authorId="0">
      <text>
        <r>
          <t>Balancing item: takes the rounding of the other sub-levels so the block adds up exactly to the package value.</t>
        </r>
      </text>
    </comment>
    <comment ref="O33" authorId="0">
      <text>
        <r>
          <t>Balancing item: takes the rounding of the other sub-levels so the block adds up exactly to the package value.</t>
        </r>
      </text>
    </comment>
    <comment ref="O50" authorId="0">
      <text>
        <r>
          <t>Balancing item: takes the rounding of the other sub-levels so the block adds up exactly to the package value.</t>
        </r>
      </text>
    </comment>
    <comment ref="O54" authorId="0">
      <text>
        <r>
          <t>Balancing item: takes the rounding of the other sub-levels so the block adds up exactly to the package value.</t>
        </r>
      </text>
    </comment>
    <comment ref="O61" authorId="0">
      <text>
        <r>
          <t>Balancing item: takes the rounding of the other sub-levels so the block adds up exactly to the package value.</t>
        </r>
      </text>
    </comment>
    <comment ref="O67" authorId="0">
      <text>
        <r>
          <t>Balancing item: takes the rounding of the other sub-levels so the block adds up exactly to the package value.</t>
        </r>
      </text>
    </comment>
  </commentList>
</comments>
</file>

<file path=xl/comments4.xml><?xml version="1.0" encoding="utf-8"?>
<comments xmlns="http://schemas.openxmlformats.org/spreadsheetml/2006/main">
  <authors>
    <author>Author</author>
  </authors>
  <commentList>
    <comment ref="A5" authorId="0">
      <text/>
    </comment>
    <comment ref="B5" authorId="0">
      <text/>
    </comment>
    <comment ref="C5" authorId="0">
      <text/>
    </comment>
    <comment ref="D5" authorId="0">
      <text/>
    </comment>
    <comment ref="E5" authorId="0">
      <text/>
    </comment>
    <comment ref="F5" authorId="0">
      <text/>
    </comment>
    <comment ref="G5" authorId="0">
      <text/>
    </comment>
    <comment ref="H5" authorId="0">
      <text/>
    </comment>
    <comment ref="I5" authorId="0">
      <text/>
    </comment>
    <comment ref="J5" authorId="0">
      <text/>
    </comment>
    <comment ref="K5" authorId="0">
      <text/>
    </comment>
    <comment ref="L5" authorId="0">
      <text/>
    </comment>
    <comment ref="M5" authorId="0">
      <text/>
    </comment>
    <comment ref="N5" authorId="0">
      <text/>
    </comment>
    <comment ref="O5" authorId="0">
      <text/>
    </comment>
    <comment ref="P5" authorId="0">
      <text/>
    </comment>
    <comment ref="Q5" authorId="0">
      <text/>
    </comment>
    <comment ref="R5" authorId="0">
      <text/>
    </comment>
    <comment ref="S5" authorId="0">
      <text/>
    </comment>
    <comment ref="T5" authorId="0">
      <text/>
    </comment>
    <comment ref="U5" authorId="0">
      <text/>
    </comment>
    <comment ref="V5" authorId="0">
      <text/>
    </comment>
    <comment ref="W5" authorId="0">
      <text/>
    </comment>
    <comment ref="A6" authorId="0">
      <text/>
    </comment>
    <comment ref="B6" authorId="0">
      <text/>
    </comment>
    <comment ref="C6" authorId="0">
      <text/>
    </comment>
    <comment ref="D6" authorId="0">
      <text/>
    </comment>
    <comment ref="E6" authorId="0">
      <text/>
    </comment>
    <comment ref="F6" authorId="0">
      <text/>
    </comment>
    <comment ref="G6" authorId="0">
      <text/>
    </comment>
    <comment ref="H6" authorId="0">
      <text/>
    </comment>
    <comment ref="I6" authorId="0">
      <text/>
    </comment>
    <comment ref="J6" authorId="0">
      <text/>
    </comment>
    <comment ref="K6" authorId="0">
      <text/>
    </comment>
    <comment ref="L6" authorId="0">
      <text/>
    </comment>
    <comment ref="M6" authorId="0">
      <text/>
    </comment>
    <comment ref="N6" authorId="0">
      <text/>
    </comment>
    <comment ref="O6" authorId="0">
      <text/>
    </comment>
    <comment ref="P6" authorId="0">
      <text/>
    </comment>
    <comment ref="Q6" authorId="0">
      <text/>
    </comment>
    <comment ref="R6" authorId="0">
      <text/>
    </comment>
    <comment ref="S6" authorId="0">
      <text/>
    </comment>
    <comment ref="T6" authorId="0">
      <text/>
    </comment>
    <comment ref="U6" authorId="0">
      <text/>
    </comment>
    <comment ref="V6" authorId="0">
      <text/>
    </comment>
    <comment ref="W6" authorId="0">
      <text/>
    </comment>
    <comment ref="A7" authorId="0">
      <text/>
    </comment>
    <comment ref="B7" authorId="0">
      <text/>
    </comment>
    <comment ref="C7" authorId="0">
      <text/>
    </comment>
    <comment ref="D7" authorId="0">
      <text/>
    </comment>
    <comment ref="E7" authorId="0">
      <text/>
    </comment>
    <comment ref="F7" authorId="0">
      <text/>
    </comment>
    <comment ref="G7" authorId="0">
      <text/>
    </comment>
    <comment ref="H7" authorId="0">
      <text/>
    </comment>
    <comment ref="I7" authorId="0">
      <text/>
    </comment>
    <comment ref="J7" authorId="0">
      <text/>
    </comment>
    <comment ref="K7" authorId="0">
      <text/>
    </comment>
    <comment ref="L7" authorId="0">
      <text/>
    </comment>
    <comment ref="M7" authorId="0">
      <text/>
    </comment>
    <comment ref="N7" authorId="0">
      <text/>
    </comment>
    <comment ref="O7" authorId="0">
      <text>
        <r>
          <t>Go-live in the UAT month (30 Nov 2027) so that CM is fully running in December 2027 without overlapping WP2.</t>
        </r>
      </text>
    </comment>
    <comment ref="P7" authorId="0">
      <text/>
    </comment>
    <comment ref="Q7" authorId="0">
      <text/>
    </comment>
    <comment ref="R7" authorId="0">
      <text/>
    </comment>
    <comment ref="S7" authorId="0">
      <text/>
    </comment>
    <comment ref="T7" authorId="0">
      <text/>
    </comment>
    <comment ref="U7" authorId="0">
      <text/>
    </comment>
    <comment ref="V7" authorId="0">
      <text/>
    </comment>
    <comment ref="W7" authorId="0">
      <text/>
    </comment>
    <comment ref="A8" authorId="0">
      <text/>
    </comment>
    <comment ref="B8" authorId="0">
      <text/>
    </comment>
    <comment ref="C8" authorId="0">
      <text/>
    </comment>
    <comment ref="D8" authorId="0">
      <text/>
    </comment>
    <comment ref="E8" authorId="0">
      <text/>
    </comment>
    <comment ref="F8" authorId="0">
      <text/>
    </comment>
    <comment ref="G8" authorId="0">
      <text/>
    </comment>
    <comment ref="H8" authorId="0">
      <text/>
    </comment>
    <comment ref="I8" authorId="0">
      <text/>
    </comment>
    <comment ref="J8" authorId="0">
      <text/>
    </comment>
    <comment ref="K8" authorId="0">
      <text/>
    </comment>
    <comment ref="L8" authorId="0">
      <text/>
    </comment>
    <comment ref="M8" authorId="0">
      <text/>
    </comment>
    <comment ref="N8" authorId="0">
      <text/>
    </comment>
    <comment ref="O8" authorId="0">
      <text/>
    </comment>
    <comment ref="P8" authorId="0">
      <text/>
    </comment>
    <comment ref="Q8" authorId="0">
      <text/>
    </comment>
    <comment ref="R8" authorId="0">
      <text/>
    </comment>
    <comment ref="S8" authorId="0">
      <text/>
    </comment>
    <comment ref="T8" authorId="0">
      <text/>
    </comment>
    <comment ref="U8" authorId="0">
      <text/>
    </comment>
    <comment ref="V8" authorId="0">
      <text/>
    </comment>
    <comment ref="W8" authorId="0">
      <text/>
    </comment>
    <comment ref="A9" authorId="0">
      <text/>
    </comment>
    <comment ref="B9" authorId="0">
      <text/>
    </comment>
    <comment ref="C9" authorId="0">
      <text/>
    </comment>
    <comment ref="D9" authorId="0">
      <text/>
    </comment>
    <comment ref="E9" authorId="0">
      <text/>
    </comment>
    <comment ref="F9" authorId="0">
      <text/>
    </comment>
    <comment ref="G9" authorId="0">
      <text/>
    </comment>
    <comment ref="H9" authorId="0">
      <text/>
    </comment>
    <comment ref="I9" authorId="0">
      <text/>
    </comment>
    <comment ref="J9" authorId="0">
      <text/>
    </comment>
    <comment ref="K9" authorId="0">
      <text/>
    </comment>
    <comment ref="L9" authorId="0">
      <text/>
    </comment>
    <comment ref="M9" authorId="0">
      <text/>
    </comment>
    <comment ref="N9" authorId="0">
      <text/>
    </comment>
    <comment ref="O9" authorId="0">
      <text/>
    </comment>
    <comment ref="P9" authorId="0">
      <text/>
    </comment>
    <comment ref="Q9" authorId="0">
      <text/>
    </comment>
    <comment ref="R9" authorId="0">
      <text/>
    </comment>
    <comment ref="S9" authorId="0">
      <text/>
    </comment>
    <comment ref="T9" authorId="0">
      <text/>
    </comment>
    <comment ref="U9" authorId="0">
      <text/>
    </comment>
    <comment ref="V9" authorId="0">
      <text/>
    </comment>
    <comment ref="W9" authorId="0">
      <text/>
    </comment>
    <comment ref="A10" authorId="0">
      <text/>
    </comment>
    <comment ref="B10" authorId="0">
      <text/>
    </comment>
    <comment ref="C10" authorId="0">
      <text/>
    </comment>
    <comment ref="D10" authorId="0">
      <text/>
    </comment>
    <comment ref="E10" authorId="0">
      <text/>
    </comment>
    <comment ref="F10" authorId="0">
      <text/>
    </comment>
    <comment ref="G10" authorId="0">
      <text/>
    </comment>
    <comment ref="H10" authorId="0">
      <text/>
    </comment>
    <comment ref="I10" authorId="0">
      <text/>
    </comment>
    <comment ref="J10" authorId="0">
      <text/>
    </comment>
    <comment ref="K10" authorId="0">
      <text/>
    </comment>
    <comment ref="L10" authorId="0">
      <text/>
    </comment>
    <comment ref="M10" authorId="0">
      <text/>
    </comment>
    <comment ref="N10" authorId="0">
      <text/>
    </comment>
    <comment ref="O10" authorId="0">
      <text/>
    </comment>
    <comment ref="P10" authorId="0">
      <text/>
    </comment>
    <comment ref="Q10" authorId="0">
      <text/>
    </comment>
    <comment ref="R10" authorId="0">
      <text/>
    </comment>
    <comment ref="S10" authorId="0">
      <text/>
    </comment>
    <comment ref="T10" authorId="0">
      <text/>
    </comment>
    <comment ref="U10" authorId="0">
      <text/>
    </comment>
    <comment ref="V10" authorId="0">
      <text/>
    </comment>
    <comment ref="W10" authorId="0">
      <text/>
    </comment>
    <comment ref="A11" authorId="0">
      <text/>
    </comment>
    <comment ref="B11" authorId="0">
      <text/>
    </comment>
    <comment ref="C11" authorId="0">
      <text/>
    </comment>
    <comment ref="D11" authorId="0">
      <text/>
    </comment>
    <comment ref="E11" authorId="0">
      <text/>
    </comment>
    <comment ref="F11" authorId="0">
      <text>
        <r>
          <t>Balancing figure: takes the rounding of the other packages so the rollout total stays exactly 11,16,65,000.</t>
        </r>
      </text>
    </comment>
    <comment ref="G11" authorId="0">
      <text/>
    </comment>
    <comment ref="H11" authorId="0">
      <text/>
    </comment>
    <comment ref="I11" authorId="0">
      <text/>
    </comment>
    <comment ref="J11" authorId="0">
      <text/>
    </comment>
    <comment ref="K11" authorId="0">
      <text/>
    </comment>
    <comment ref="L11" authorId="0">
      <text/>
    </comment>
    <comment ref="M11" authorId="0">
      <text/>
    </comment>
    <comment ref="N11" authorId="0">
      <text/>
    </comment>
    <comment ref="O11" authorId="0">
      <text/>
    </comment>
    <comment ref="P11" authorId="0">
      <text/>
    </comment>
    <comment ref="Q11" authorId="0">
      <text/>
    </comment>
    <comment ref="R11" authorId="0">
      <text/>
    </comment>
    <comment ref="S11" authorId="0">
      <text/>
    </comment>
    <comment ref="T11" authorId="0">
      <text/>
    </comment>
    <comment ref="U11" authorId="0">
      <text/>
    </comment>
    <comment ref="V11" authorId="0">
      <text/>
    </comment>
    <comment ref="W11" authorId="0">
      <text/>
    </comment>
    <comment ref="A12" authorId="0">
      <text/>
    </comment>
    <comment ref="B12" authorId="0">
      <text/>
    </comment>
    <comment ref="C12" authorId="0">
      <text/>
    </comment>
    <comment ref="D12" authorId="0">
      <text/>
    </comment>
    <comment ref="E12" authorId="0">
      <text/>
    </comment>
    <comment ref="F12" authorId="0">
      <text/>
    </comment>
    <comment ref="G12" authorId="0">
      <text/>
    </comment>
    <comment ref="H12" authorId="0">
      <text/>
    </comment>
    <comment ref="I12" authorId="0">
      <text/>
    </comment>
    <comment ref="J12" authorId="0">
      <text/>
    </comment>
    <comment ref="K12" authorId="0">
      <text/>
    </comment>
    <comment ref="L12" authorId="0">
      <text/>
    </comment>
    <comment ref="M12" authorId="0">
      <text/>
    </comment>
    <comment ref="N12" authorId="0">
      <text/>
    </comment>
    <comment ref="O12" authorId="0">
      <text/>
    </comment>
    <comment ref="P12" authorId="0">
      <text/>
    </comment>
    <comment ref="Q12" authorId="0">
      <text/>
    </comment>
    <comment ref="R12" authorId="0">
      <text/>
    </comment>
    <comment ref="S12" authorId="0">
      <text/>
    </comment>
    <comment ref="T12" authorId="0">
      <text/>
    </comment>
    <comment ref="U12" authorId="0">
      <text/>
    </comment>
    <comment ref="V12" authorId="0">
      <text/>
    </comment>
    <comment ref="W12" authorId="0">
      <text/>
    </comment>
    <comment ref="B13" authorId="0">
      <text/>
    </comment>
    <comment ref="F13" authorId="0">
      <text/>
    </comment>
    <comment ref="B14" authorId="0">
      <text/>
    </comment>
    <comment ref="F14" authorId="0">
      <text/>
    </comment>
    <comment ref="B15" authorId="0">
      <text/>
    </comment>
    <comment ref="F15" authorId="0">
      <text/>
    </comment>
    <comment ref="B16" authorId="0">
      <text/>
    </comment>
    <comment ref="F16" authorId="0">
      <text/>
    </comment>
    <comment ref="B17" authorId="0">
      <text/>
    </comment>
    <comment ref="F17" authorId="0">
      <text/>
    </comment>
  </commentList>
</comments>
</file>

<file path=xl/sharedStrings.xml><?xml version="1.0" encoding="utf-8"?>
<sst xmlns="http://schemas.openxmlformats.org/spreadsheetml/2006/main" count="730" uniqueCount="447">
  <si>
    <t>BSTI 2.0 – Revised financial structure (work-volume based, ≤ 2 crore per approval)</t>
  </si>
  <si>
    <t>Prepared 19 Oct 2026, revision 2. Basis: OrangeBD Financial Proposal V4 (Sep 2026), BSTI 2.0.pptx feature counts, BSTI priority list (serial.docx). Rollout total unchanged. WP1 (BSTI 2.0 transformation) includes O&amp;M of the 5 live services; packages run one after another. Amounts exclude VAT unless stated.</t>
  </si>
  <si>
    <t>Rollout total (unchanged)</t>
  </si>
  <si>
    <t>Maintenance 2030–31 (unchanged)</t>
  </si>
  <si>
    <t>Grand total (excl. VAT)</t>
  </si>
  <si>
    <t>Number of approval packages (rollout)</t>
  </si>
  <si>
    <t>Largest approval incl. VAT (crore)</t>
  </si>
  <si>
    <t>Last go-live deadline</t>
  </si>
  <si>
    <t>Approval packages</t>
  </si>
  <si>
    <t>Price breakdown by sub-level</t>
  </si>
  <si>
    <t>Package</t>
  </si>
  <si>
    <t>Scope</t>
  </si>
  <si>
    <t>Value (BDT, excl. VAT)</t>
  </si>
  <si>
    <t>Value incl. VAT (BDT)</t>
  </si>
  <si>
    <t>Crore incl. VAT</t>
  </si>
  <si>
    <t>Cap check</t>
  </si>
  <si>
    <t>Work start</t>
  </si>
  <si>
    <t>Go-live deadline</t>
  </si>
  <si>
    <t>Ref (serial.docx)</t>
  </si>
  <si>
    <t>Sub-level (service / module)</t>
  </si>
  <si>
    <t>Work type</t>
  </si>
  <si>
    <t>Work units</t>
  </si>
  <si>
    <t>Price (BDT, excl. VAT)</t>
  </si>
  <si>
    <t>Price incl. VAT (BDT)</t>
  </si>
  <si>
    <t>Lakh (excl. VAT)</t>
  </si>
  <si>
    <t>Block check</t>
  </si>
  <si>
    <t>WP1</t>
  </si>
  <si>
    <t>—</t>
  </si>
  <si>
    <t>Operation &amp; maintenance of the 5 live services (CM, HR, Payroll, PCR, Standards sale), Aug–Dec 2026</t>
  </si>
  <si>
    <t>O&amp;M</t>
  </si>
  <si>
    <t>TOTAL ROLLOUT</t>
  </si>
  <si>
    <t>Subtotal WP1</t>
  </si>
  <si>
    <t>Year-wise cash flow: revised vs proposal (BDT, excl. VAT)</t>
  </si>
  <si>
    <t>Year</t>
  </si>
  <si>
    <t>Proposal (as submitted)</t>
  </si>
  <si>
    <t>Revised: rollout</t>
  </si>
  <si>
    <t>Revised: maintenance</t>
  </si>
  <si>
    <t>Revised: total</t>
  </si>
  <si>
    <t>Difference, revised − proposal (lakh)</t>
  </si>
  <si>
    <t>Revised incl. VAT</t>
  </si>
  <si>
    <t>2026</t>
  </si>
  <si>
    <t>WP2</t>
  </si>
  <si>
    <t>Subtotal WP2</t>
  </si>
  <si>
    <t>2027</t>
  </si>
  <si>
    <t>2028</t>
  </si>
  <si>
    <t>2029</t>
  </si>
  <si>
    <t>2030</t>
  </si>
  <si>
    <t>2031</t>
  </si>
  <si>
    <t>Total</t>
  </si>
  <si>
    <t>Check: revised total equals proposal total</t>
  </si>
  <si>
    <t>WP3</t>
  </si>
  <si>
    <t>Subtotal WP3</t>
  </si>
  <si>
    <t>Checks</t>
  </si>
  <si>
    <t>Milestone percentages total 100%</t>
  </si>
  <si>
    <t>Work Volume allocation equals development pool</t>
  </si>
  <si>
    <t>Package total equals rollout total</t>
  </si>
  <si>
    <t>Every Work Volume row assigned to a package</t>
  </si>
  <si>
    <t>All rollout packages within the 2-crore cap</t>
  </si>
  <si>
    <t>Payment schedule reconciles to rollout and maintenance</t>
  </si>
  <si>
    <t>Each maintenance tranche within the cap</t>
  </si>
  <si>
    <t>Original offer recomputes to proposal totals</t>
  </si>
  <si>
    <t>Accounts, CM, PCR and labs (WP1–WP3) live by the Dec 2027 deadline</t>
  </si>
  <si>
    <t>Development timelines do not overlap (one package at a time)</t>
  </si>
  <si>
    <t>Sub-level price breakdown matches the packages</t>
  </si>
  <si>
    <t>WP4</t>
  </si>
  <si>
    <t>Subtotal WP4</t>
  </si>
  <si>
    <t>WP5</t>
  </si>
  <si>
    <t>Subtotal WP5</t>
  </si>
  <si>
    <t>WP6</t>
  </si>
  <si>
    <t>Subtotal WP6</t>
  </si>
  <si>
    <t>WP7</t>
  </si>
  <si>
    <t>Subtotal WP7</t>
  </si>
  <si>
    <t>Each sub-level price = its share of work units × development pool, rounded to the nearest 1,000; the last line of each block balances to the package value. If a row is moved to another package on Work Volume, its block check shows MOVED.</t>
  </si>
  <si>
    <t>Inputs and assumptions</t>
  </si>
  <si>
    <t>Blue = input you can change. Yellow = BSTI assumption to confirm. Black = formula.</t>
  </si>
  <si>
    <t>Rollout total, OrangeBD Financial Proposal V4 (BDT, excl. VAT)</t>
  </si>
  <si>
    <t>Source: Financial Proposal V4, p.4 (Aug 2026 – Dec 2029). Kept unchanged as instructed.</t>
  </si>
  <si>
    <t>O&amp;M of the 5 live services, Aug–Dec 2026, inside WP1 (BDT)</t>
  </si>
  <si>
    <t>Source: Financial Proposal V4, p.4 (5 services × 65,000 × 5 months = 16,25,000). Revision 2: part of WP1 (BSTI 2.0 transformation) as a lump-sum line, paid on signing; not allocated by work volume.</t>
  </si>
  <si>
    <t>Development pool allocated by work volume (BDT)</t>
  </si>
  <si>
    <t>Formula</t>
  </si>
  <si>
    <t>Maximum value per approval (BDT)</t>
  </si>
  <si>
    <t>User instruction: at most 2 crore can be approved at a time.</t>
  </si>
  <si>
    <t>VAT and taxes for the approval check</t>
  </si>
  <si>
    <t>Assumption: 15% standard VAT. Proposal prices exclude VAT (p.3). Confirm the applicable VAT/AIT rate with Accounts; set to 0 if the 2-crore limit applies to the price excluding VAT.</t>
  </si>
  <si>
    <t>Apply the cap to the value including VAT? (Y/N)</t>
  </si>
  <si>
    <t>Y</t>
  </si>
  <si>
    <t>Y = check package value incl. VAT against the cap (safer). N = check value excl. VAT.</t>
  </si>
  <si>
    <t>Maintenance total 2030–2031 (BDT, excl. VAT)</t>
  </si>
  <si>
    <t>Source: Financial Proposal V4, p.5 (33 × 95,000 × 24 = 7,52,40,000). Unchanged.</t>
  </si>
  <si>
    <t>Maintenance period (months)</t>
  </si>
  <si>
    <t>Jan 2030 – Dec 2031</t>
  </si>
  <si>
    <t>Maintenance months per approval</t>
  </si>
  <si>
    <t>Quarterly, matching the proposal's payment mode (p.3). 6 months fits the cap only if VAT is excluded from it.</t>
  </si>
  <si>
    <t>Maintenance start</t>
  </si>
  <si>
    <t>Source: Financial Proposal V4, p.5</t>
  </si>
  <si>
    <t>Round package values to (digits, -3 = nearest 1,000)</t>
  </si>
  <si>
    <t>Last package absorbs the rounding so the total stays exactly equal to the rollout total.</t>
  </si>
  <si>
    <t>Deadline: Accounts, CM, PCR and lab testing fully running</t>
  </si>
  <si>
    <t>User instruction (19 Oct 2026): lab testing cannot be delayed; CM + PCR + labs + Accounts must be fully running within December 2027. Applies to WP1–WP3.</t>
  </si>
  <si>
    <t>Work-type weighting factor</t>
  </si>
  <si>
    <t>Factor</t>
  </si>
  <si>
    <t>Meaning</t>
  </si>
  <si>
    <t>N</t>
  </si>
  <si>
    <t>N = New build: first workflow of its family; full feature count counts as work.</t>
  </si>
  <si>
    <t>V</t>
  </si>
  <si>
    <t>V = Variant: renewal / brand inclusion / re-certification / scope inclusion of a family built in the same package. Session 1 found these SRS sections 85–99% identical text (difflib), so most of the work is configuration.</t>
  </si>
  <si>
    <t>L</t>
  </si>
  <si>
    <t>L = Live in v1: already running (HRM, Payroll, Standards sale, CM new, PCR new). Work is re-platforming into v2: 23-office organogram, SSO, shared engines and data migration.</t>
  </si>
  <si>
    <t>Set every factor to 1.00 to allocate purely by the deck's feature counts.</t>
  </si>
  <si>
    <t>Payment milestone (each development package)</t>
  </si>
  <si>
    <t>% of package</t>
  </si>
  <si>
    <t>Acceptance evidence</t>
  </si>
  <si>
    <t>M1 Design &amp; prototype sign-off</t>
  </si>
  <si>
    <t>Package SRS detail (forms, fields, fee rules, desk roles, acceptance criteria) and clickable prototype approved by the wing.</t>
  </si>
  <si>
    <t>M2 UAT acceptance</t>
  </si>
  <si>
    <t>UAT signed by the wing focal point and ICT; zero open critical defects.</t>
  </si>
  <si>
    <t>M3 Go-live</t>
  </si>
  <si>
    <t>All services in the package live at HQ and the relevant regional offices with real transactions; data migrated; training done.</t>
  </si>
  <si>
    <t>M4 End of stabilisation</t>
  </si>
  <si>
    <t>Retention: released after the stabilisation period with SLA met; source code and documentation deposited.</t>
  </si>
  <si>
    <t>Check: milestones total 100%</t>
  </si>
  <si>
    <t>Work volume and cost allocation by priority (serial.docx order)</t>
  </si>
  <si>
    <t>Volume = feature count per service from OrangeBD's BSTI 2.0.pptx (slides 14–46). Work units = features used × work-type factor. Each row's cost = its share of work units × development pool. Yellow = BSTI estimate where the SRS/deck gives no scope.</t>
  </si>
  <si>
    <t>Priority</t>
  </si>
  <si>
    <t>Serial ref</t>
  </si>
  <si>
    <t>Service / module (as in serial.docx)</t>
  </si>
  <si>
    <t>Deck service</t>
  </si>
  <si>
    <t>Deck service title</t>
  </si>
  <si>
    <t>Modules (deck)</t>
  </si>
  <si>
    <t>Features (deck, parent service)</t>
  </si>
  <si>
    <t>Features used</t>
  </si>
  <si>
    <t>Basis for features used</t>
  </si>
  <si>
    <t>Work type (N/V/L)</t>
  </si>
  <si>
    <t>Include? (Y/N)</t>
  </si>
  <si>
    <t>Share of work</t>
  </si>
  <si>
    <t>Allocated (BDT)</t>
  </si>
  <si>
    <t>Allocated (lakh)</t>
  </si>
  <si>
    <t>1</t>
  </si>
  <si>
    <t>BSTI 2.0 Transformation: common platform (unified portal &amp; SSO, 23-office organogram, workflow / fee-payment / certificate-QR engines, v1 data migration)</t>
  </si>
  <si>
    <t>Not a separate deck service (shown in SRS architecture, p.17)</t>
  </si>
  <si>
    <t>BSTI estimate: no feature list in SRS</t>
  </si>
  <si>
    <t>1(i)</t>
  </si>
  <si>
    <t>HRM &amp; Leave</t>
  </si>
  <si>
    <t>S01</t>
  </si>
  <si>
    <t>HRM &amp; Leave Management</t>
  </si>
  <si>
    <t>Deck slide 14</t>
  </si>
  <si>
    <t>1(ii)</t>
  </si>
  <si>
    <t>Payroll</t>
  </si>
  <si>
    <t>S02</t>
  </si>
  <si>
    <t>Payroll Management</t>
  </si>
  <si>
    <t>Deck slide 15</t>
  </si>
  <si>
    <t>1(iii)</t>
  </si>
  <si>
    <t>BDS sell (Standards sale)</t>
  </si>
  <si>
    <t>S23*</t>
  </si>
  <si>
    <t>Replaces S23 slot; no scope in SRS or deck</t>
  </si>
  <si>
    <t>BSTI estimate: move into portal/SSO, link to CM application, shared payment</t>
  </si>
  <si>
    <t>2</t>
  </si>
  <si>
    <t>Accounts</t>
  </si>
  <si>
    <t>S03</t>
  </si>
  <si>
    <t>Finance &amp; Accounts Management</t>
  </si>
  <si>
    <t>Deck slide 16</t>
  </si>
  <si>
    <t>3(i)</t>
  </si>
  <si>
    <t>CM Non-Scope Products (new licence)</t>
  </si>
  <si>
    <t>S05</t>
  </si>
  <si>
    <t>CM Mandatory New Certification</t>
  </si>
  <si>
    <t>Deck slide 18</t>
  </si>
  <si>
    <t>3(ii)</t>
  </si>
  <si>
    <t>CM Non-Scope Product Renewal</t>
  </si>
  <si>
    <t>S06</t>
  </si>
  <si>
    <t>CM Mandatory Renewal</t>
  </si>
  <si>
    <t>Deck slide 19</t>
  </si>
  <si>
    <t>3(iii)</t>
  </si>
  <si>
    <t>CM Non-Scope Brand Inclusion</t>
  </si>
  <si>
    <t>S07</t>
  </si>
  <si>
    <t>CM Mandatory Brand Inclusion</t>
  </si>
  <si>
    <t>Deck slide 20</t>
  </si>
  <si>
    <t>3(iv)</t>
  </si>
  <si>
    <t>CM Scope Product</t>
  </si>
  <si>
    <t>S08</t>
  </si>
  <si>
    <t>CM Scope New Certification</t>
  </si>
  <si>
    <t>Deck slide 21</t>
  </si>
  <si>
    <t>3(v)</t>
  </si>
  <si>
    <t>CM Scope Product Renewal</t>
  </si>
  <si>
    <t>S09</t>
  </si>
  <si>
    <t>CM Scope Renewal Certification</t>
  </si>
  <si>
    <t>Deck slide 22</t>
  </si>
  <si>
    <t>3(vi)</t>
  </si>
  <si>
    <t>CM Scope Brand Inclusion</t>
  </si>
  <si>
    <t>S10</t>
  </si>
  <si>
    <t>Deck slide 23</t>
  </si>
  <si>
    <t>Footnote</t>
  </si>
  <si>
    <t>All types of Suspension / Cancellation / Withdrawal of certificates and licences (common module, reused by every later package)</t>
  </si>
  <si>
    <t>Not in deck; MSC/CM gaps flagged by wings in 2025</t>
  </si>
  <si>
    <t>BSTI estimate</t>
  </si>
  <si>
    <t>4</t>
  </si>
  <si>
    <t>Chemical Testing</t>
  </si>
  <si>
    <t>S14</t>
  </si>
  <si>
    <t>Deck slide 27</t>
  </si>
  <si>
    <t>5</t>
  </si>
  <si>
    <t>Physical Testing</t>
  </si>
  <si>
    <t>S15</t>
  </si>
  <si>
    <t>Deck slide 28</t>
  </si>
  <si>
    <t>6</t>
  </si>
  <si>
    <t>Energy Meter Testing</t>
  </si>
  <si>
    <t>S16</t>
  </si>
  <si>
    <t>Physical Lab – Energy Meter</t>
  </si>
  <si>
    <t>Deck slide 29</t>
  </si>
  <si>
    <t>7(i)</t>
  </si>
  <si>
    <t>PCR new</t>
  </si>
  <si>
    <t>S19</t>
  </si>
  <si>
    <t>PCR Registration New</t>
  </si>
  <si>
    <t>Deck slide 32</t>
  </si>
  <si>
    <t>7(ii)</t>
  </si>
  <si>
    <t>PCR Renewal</t>
  </si>
  <si>
    <t>S20</t>
  </si>
  <si>
    <t>PCR Registration Renewal</t>
  </si>
  <si>
    <t>Deck slide 33</t>
  </si>
  <si>
    <t>7(iii)</t>
  </si>
  <si>
    <t>PCR Brand Inclusion</t>
  </si>
  <si>
    <t>S21</t>
  </si>
  <si>
    <t>Deck slide 34</t>
  </si>
  <si>
    <t>8</t>
  </si>
  <si>
    <t>Mobile Court</t>
  </si>
  <si>
    <t>S33</t>
  </si>
  <si>
    <t>Mobile Court &amp; Surveillance e-Service</t>
  </si>
  <si>
    <t>Deck slide 46 modules: Mobile Court 18 + Product 5 + Tracking 3</t>
  </si>
  <si>
    <t>9(i)</t>
  </si>
  <si>
    <t>Surveillance – Operational Activities</t>
  </si>
  <si>
    <t>Deck slide 46: remaining 23 features (Surveillance 10, Sample 7, Test report 2, Admin 2, Workflow 2) split equally</t>
  </si>
  <si>
    <t>9(ii)</t>
  </si>
  <si>
    <t>Surveillance – List of Illegal Establishments</t>
  </si>
  <si>
    <t>As above</t>
  </si>
  <si>
    <t>10(i)</t>
  </si>
  <si>
    <t>Verification – Petrol Pump</t>
  </si>
  <si>
    <t>S32</t>
  </si>
  <si>
    <t>Verification Service</t>
  </si>
  <si>
    <t>Deck slide 45; split equally over 4 sub-types</t>
  </si>
  <si>
    <t>10(ii)</t>
  </si>
  <si>
    <t>Verification – Weighing Scale (general)</t>
  </si>
  <si>
    <t>10(iii)</t>
  </si>
  <si>
    <t>Verification – Weighing Scale (Association)</t>
  </si>
  <si>
    <t>10(iv)</t>
  </si>
  <si>
    <t>Verification – Weighbridge</t>
  </si>
  <si>
    <t>11(i)</t>
  </si>
  <si>
    <t>Tank Calibration – Tank Lorry</t>
  </si>
  <si>
    <t>S26</t>
  </si>
  <si>
    <t>Tank Lorry Calibration</t>
  </si>
  <si>
    <t>Deck slide 39; split equally over 2 sub-types</t>
  </si>
  <si>
    <t>11(ii)</t>
  </si>
  <si>
    <t>Tank Calibration – Road-Tanker</t>
  </si>
  <si>
    <t>12(i)</t>
  </si>
  <si>
    <t>Metrology License New</t>
  </si>
  <si>
    <t>S24</t>
  </si>
  <si>
    <t>Metrology License Issue</t>
  </si>
  <si>
    <t>Deck slide 37</t>
  </si>
  <si>
    <t>12(ii)</t>
  </si>
  <si>
    <t>Metrology License Renewal</t>
  </si>
  <si>
    <t>S25</t>
  </si>
  <si>
    <t>Deck slide 38</t>
  </si>
  <si>
    <t>13(i)</t>
  </si>
  <si>
    <t>Storage Tank Calibration – Underground</t>
  </si>
  <si>
    <t>S30</t>
  </si>
  <si>
    <t>Storage Tank Calibration</t>
  </si>
  <si>
    <t>Deck slide 43; split equally over 5 sub-types</t>
  </si>
  <si>
    <t>13(ii)</t>
  </si>
  <si>
    <t>Storage Tank Calibration – Overhead</t>
  </si>
  <si>
    <t>13(iii)</t>
  </si>
  <si>
    <t>Storage Tank Calibration – Oil-Tanker</t>
  </si>
  <si>
    <t>13(iv)</t>
  </si>
  <si>
    <t>Storage Tank Calibration – Barge</t>
  </si>
  <si>
    <t>13(v)</t>
  </si>
  <si>
    <t>Storage Tank Calibration – Lighter</t>
  </si>
  <si>
    <t>14(i)</t>
  </si>
  <si>
    <t>MSC Issue</t>
  </si>
  <si>
    <t>S17</t>
  </si>
  <si>
    <t>MSC Certification</t>
  </si>
  <si>
    <t>Deck slide 30</t>
  </si>
  <si>
    <t>14(ii)</t>
  </si>
  <si>
    <t>MSC Renewal</t>
  </si>
  <si>
    <t>S18</t>
  </si>
  <si>
    <t>MSC Re-certification</t>
  </si>
  <si>
    <t>Deck slide 31</t>
  </si>
  <si>
    <t>14(iii)</t>
  </si>
  <si>
    <t>MSC Scope Inclusion</t>
  </si>
  <si>
    <t>Not in deck or SRS</t>
  </si>
  <si>
    <t>BSTI estimate (similar to a brand / scope inclusion)</t>
  </si>
  <si>
    <t>15(i)</t>
  </si>
  <si>
    <t>Halal Certificate New</t>
  </si>
  <si>
    <t>S11</t>
  </si>
  <si>
    <t>CM Halal Certification</t>
  </si>
  <si>
    <t>Deck slide 24</t>
  </si>
  <si>
    <t>15(ii)</t>
  </si>
  <si>
    <t>Halal Recertification</t>
  </si>
  <si>
    <t>S12</t>
  </si>
  <si>
    <t>CM Halal Renewal Certification</t>
  </si>
  <si>
    <t>Deck slide 25</t>
  </si>
  <si>
    <t>15(iii)</t>
  </si>
  <si>
    <t>Halal Brand Inclusion</t>
  </si>
  <si>
    <t>S13</t>
  </si>
  <si>
    <t>CM Halal Brand Inclusion</t>
  </si>
  <si>
    <t>Deck slide 26</t>
  </si>
  <si>
    <t>16(i)</t>
  </si>
  <si>
    <t>LPG Bottling Plant / LPG Filling / Fuel Filling Station – New Registration</t>
  </si>
  <si>
    <t>S27</t>
  </si>
  <si>
    <t>LPG / Fuel Station Registration</t>
  </si>
  <si>
    <t>Deck slide 40</t>
  </si>
  <si>
    <t>16(ii)</t>
  </si>
  <si>
    <t>LPG Bottling Plant / LPG Filling / Fuel Filling Station – Renewal</t>
  </si>
  <si>
    <t>S28</t>
  </si>
  <si>
    <t>LPG / Fuel Station Renewal</t>
  </si>
  <si>
    <t>Deck slide 41</t>
  </si>
  <si>
    <t>17</t>
  </si>
  <si>
    <t>Case Management</t>
  </si>
  <si>
    <t>S04</t>
  </si>
  <si>
    <t>Case Management System</t>
  </si>
  <si>
    <t>Deck slide 17</t>
  </si>
  <si>
    <t>18</t>
  </si>
  <si>
    <t>I&amp;S Metrology Calibration (NML)</t>
  </si>
  <si>
    <t>S31</t>
  </si>
  <si>
    <t>Industrial &amp; Scientific Metrology Calibration</t>
  </si>
  <si>
    <t>Deck slide 44</t>
  </si>
  <si>
    <t>19</t>
  </si>
  <si>
    <t>Building (flat) / Establishment Measurement</t>
  </si>
  <si>
    <t>S29</t>
  </si>
  <si>
    <t>Building / Establishment Measurement</t>
  </si>
  <si>
    <t>Deck slide 42</t>
  </si>
  <si>
    <t>20</t>
  </si>
  <si>
    <t>API integration with BSW (Bangladesh Single Window)</t>
  </si>
  <si>
    <t>Footnote*</t>
  </si>
  <si>
    <t>Registered Importer/Exporter Certificate Management</t>
  </si>
  <si>
    <t>S22</t>
  </si>
  <si>
    <t>Registered Importer/Exporter Certificate</t>
  </si>
  <si>
    <t>Deck slide 35 (marked * in serial.docx)</t>
  </si>
  <si>
    <t>Registered Importer/Exporter Certificate Management – Renewal</t>
  </si>
  <si>
    <t>S23</t>
  </si>
  <si>
    <t>Registered Importer/Exporter Renewal</t>
  </si>
  <si>
    <t>Deck slide 36 (marked * in serial.docx)</t>
  </si>
  <si>
    <t>TOTAL</t>
  </si>
  <si>
    <t>Check: allocation equals development pool</t>
  </si>
  <si>
    <t>Implied cost per work unit (BDT)</t>
  </si>
  <si>
    <t>Approval packages (each ≤ 2 crore) and development time limits</t>
  </si>
  <si>
    <t>Packages follow the serial.docx priority. Each is approved, contracted and paid separately. Packages run one after another (no overlapping development); only the stabilisation / warranty months of one package run alongside the next. Schedule inputs (blue) are months; dates are calendar month-ends. Time limit = go-live deadline in the work order.</t>
  </si>
  <si>
    <t>Priorities (serial.docx)</t>
  </si>
  <si>
    <t>Value by work share (BDT)</t>
  </si>
  <si>
    <t>Package value (BDT, excl. VAT)</t>
  </si>
  <si>
    <t>VAT &amp; taxes (BDT)</t>
  </si>
  <si>
    <t>Value incl. VAT (crore)</t>
  </si>
  <si>
    <t>Within 2-crore cap?</t>
  </si>
  <si>
    <t>Design (m)</t>
  </si>
  <si>
    <t>Build (m)</t>
  </si>
  <si>
    <t>UAT (m)</t>
  </si>
  <si>
    <t>Go-live (m)</t>
  </si>
  <si>
    <t>Stabilisation (m)</t>
  </si>
  <si>
    <t>Time limit to go-live (months)</t>
  </si>
  <si>
    <t>Approval needed by</t>
  </si>
  <si>
    <t>M1 Design sign-off</t>
  </si>
  <si>
    <t>M3 Go-live deadline</t>
  </si>
  <si>
    <t>M4 Stabilisation end</t>
  </si>
  <si>
    <t>Services in package</t>
  </si>
  <si>
    <t>BSTI 2.0 transformation (phase 1): operation &amp; maintenance of the 5 live services from Aug 2026 + total restructuring: common platform (portal, SSO, 23-office organogram, shared engines, data migration) and re-platforming of HRM &amp; Leave, Payroll, Standards (BDS) sale, CM new and PCR (new, renewal, brand inclusion)</t>
  </si>
  <si>
    <t>Live 5; 1, 3(i), 7</t>
  </si>
  <si>
    <t>Accounts and laboratory testing (Chemical, Physical, Energy Meter)</t>
  </si>
  <si>
    <t>2, 4–6</t>
  </si>
  <si>
    <t>CM licence services (non-scope renewal &amp; brand inclusion; scope new, renewal &amp; brand inclusion) + common suspension / cancellation / withdrawal</t>
  </si>
  <si>
    <t>3(ii)–(vi), footnote</t>
  </si>
  <si>
    <t>Enforcement &amp; field metrology: Mobile Court, Surveillance, Verification, Tank Calibration, Metrology Licence, Storage Tank Calibration</t>
  </si>
  <si>
    <t>8–13</t>
  </si>
  <si>
    <t>MSC services (issue, renewal, scope inclusion)</t>
  </si>
  <si>
    <t>14</t>
  </si>
  <si>
    <t>Halal certification, LPG / Fuel station registration, Case Management</t>
  </si>
  <si>
    <t>15–17</t>
  </si>
  <si>
    <t>I&amp;S Metrology Calibration (NML), Building measurement, BSW API integration, Importer/Exporter certificates*</t>
  </si>
  <si>
    <t>18–21</t>
  </si>
  <si>
    <t>Check: package total equals rollout total in the proposal</t>
  </si>
  <si>
    <t>Check: every included Work Volume row is assigned to a package</t>
  </si>
  <si>
    <t>Largest single approval (crore, incl. VAT)</t>
  </si>
  <si>
    <t>Overall development time limit: from first work start to last go-live (months)</t>
  </si>
  <si>
    <t>Check: development timelines do not overlap (each package starts after the previous go-live)</t>
  </si>
  <si>
    <t>Milestone payment schedule</t>
  </si>
  <si>
    <t>Payment only on accepted milestones (see Inputs for acceptance evidence). WP1 includes the Aug–Dec 2026 O&amp;M of the 5 live services as a lump sum; its milestones apply to the development part. Maintenance is unchanged from the proposal and approved in quarterly tranches.</t>
  </si>
  <si>
    <t>Phase</t>
  </si>
  <si>
    <t>Milestone</t>
  </si>
  <si>
    <t>Due by</t>
  </si>
  <si>
    <t>Amount (BDT, excl. VAT)</t>
  </si>
  <si>
    <t>Amount incl. VAT (BDT)</t>
  </si>
  <si>
    <t>Rollout</t>
  </si>
  <si>
    <t>O&amp;M of the 5 live services, Aug–Dec 2026 (lump sum, on signing)</t>
  </si>
  <si>
    <t>Maintenance</t>
  </si>
  <si>
    <t>MNT</t>
  </si>
  <si>
    <t>Rollout subtotal</t>
  </si>
  <si>
    <t>Maintenance subtotal</t>
  </si>
  <si>
    <t>Check: rollout payments = rollout total; maintenance = proposal</t>
  </si>
  <si>
    <t>Check: each maintenance tranche within the cap</t>
  </si>
  <si>
    <t>OrangeBD offer as submitted (Financial Proposal V4), for comparison</t>
  </si>
  <si>
    <t>Source: BSTI 2.0 - Financial Proposal V4.pdf, pages 4–5. Inputs typed from the PDF; payments recomputed by formula.</t>
  </si>
  <si>
    <t>Period</t>
  </si>
  <si>
    <t>Live services</t>
  </si>
  <si>
    <t>Rate / service / month (BDT)</t>
  </si>
  <si>
    <t>Months</t>
  </si>
  <si>
    <t>Payment (BDT)</t>
  </si>
  <si>
    <t>Aug–Dec 2026</t>
  </si>
  <si>
    <t>Jan–Mar 2027</t>
  </si>
  <si>
    <t>Apr–Jun 2027</t>
  </si>
  <si>
    <t>Jul–Sep 2027</t>
  </si>
  <si>
    <t>Oct–Dec 2027</t>
  </si>
  <si>
    <t>Jan–Mar 2028</t>
  </si>
  <si>
    <t>Apr–Jun 2028</t>
  </si>
  <si>
    <t>Jul–Sep 2028</t>
  </si>
  <si>
    <t>Oct–Dec 2028</t>
  </si>
  <si>
    <t>Jan–Mar 2029</t>
  </si>
  <si>
    <t>Apr–Jun 2029</t>
  </si>
  <si>
    <t>Jul–Sep 2029</t>
  </si>
  <si>
    <t>Oct–Dec 2029</t>
  </si>
  <si>
    <t>2030 (maintenance)</t>
  </si>
  <si>
    <t>2031 (maintenance)</t>
  </si>
  <si>
    <t>Rollout total</t>
  </si>
  <si>
    <t>Maintenance total</t>
  </si>
  <si>
    <t>Grand total</t>
  </si>
  <si>
    <t>Check vs proposal (11,16,65,000 / 7,52,40,000)</t>
  </si>
  <si>
    <t>Development schedule (month by month)</t>
  </si>
  <si>
    <t>D = design &amp; prototype · B = build · U = UAT · G = go-live (deadline at month-end) · S = stabilisation / warranty. Driven by the schedule inputs on Packages. Packages run one after another: row 12 must not exceed 1. WP1 also covers O&amp;M of the 5 live services from Aug 2026.</t>
  </si>
  <si>
    <t>Packages in development at the same time (design/build/UAT/go-live); must be ≤ 1</t>
  </si>
  <si>
    <t>Method, assumptions and points to confirm</t>
  </si>
  <si>
    <t>Method</t>
  </si>
  <si>
    <t>The rollout total of BDT 11,16,65,000 (Financial Proposal V4, p.4) is kept unchanged. Only its split changes: from 'per live service per month' to 'per accepted deliverable'.</t>
  </si>
  <si>
    <t>BDT 16,25,000 for Aug–Dec 2026 O&amp;M of the 5 live services is part of WP1 (BSTI 2.0 transformation) as a lump-sum line paid on signing; it is not allocated by work volume. The remaining BDT 11,00,40,000 is allocated by work volume.</t>
  </si>
  <si>
    <t>Work volume = feature count per service from OrangeBD's own deck (BSTI 2.0.pptx, slides 14–46; 440 modules / 2,168 features in total). Where serial.docx splits one deck service into sub-types (Verification, Tank, Storage Tank, Surveillance), the parent's features are split equally.</t>
  </si>
  <si>
    <t>Features are weighted by work type: New = 1.0, Variant (renewal / brand / scope inclusion / re-certification) = 0.5, Live in v1 (re-platforming + migration) = 0.5. Session 1 found the variant SRS sections 85–99% identical. Factors are inputs; set all to 1.0 for a pure feature-count split.</t>
  </si>
  <si>
    <t>Packages follow serial.docx priority and are cut so that each approval, including 15% VAT, stays under BDT 2 crore. Change a row's package code on 'Work Volume' to move it; the cap check flags any breach.</t>
  </si>
  <si>
    <t>Payments are tied to accepted milestones (20% design sign-off / 30% UAT / 40% go-live / 10% after stabilisation), replacing monthly per-service billing. Each package price includes support of its services until maintenance starts in Jan 2030.</t>
  </si>
  <si>
    <t>Maintenance 2030–31 (BDT 7,52,40,000) is unchanged. Because a full year (3.76 crore) exceeds the cap, it is approved in quarterly tranches of BDT 94,05,000.</t>
  </si>
  <si>
    <t>Development time limits</t>
  </si>
  <si>
    <t>Phase 1 (WP1, Jan–Apr 2027) is the BSTI 2.0 transformation: O&amp;M of the 5 live services plus a total restructuring (common platform, 23-office organogram, SSO, data migration) and re-platforming of HRM, Payroll, Standards sale, CM new and PCR. PCR renewal and brand inclusion sit in WP1 with PCR new; Accounts moves to WP2. Otherwise WP2 or WP3 would exceed the 2-crore cap. New development then runs one package at a time with no overlap: WP2 Accounts + labs (May–Aug 2027), WP3 CM (Sep–Nov 2027, go-live 30 Nov). CM, PCR, labs and Accounts are therefore fully running in December 2027.</t>
  </si>
  <si>
    <t>Approvals: WP1 by 30 Nov 2026, WP2 by 31 Mar 2027, WP3 by 31 Jul 2027, WP4 by 30 Nov 2027, WP5 by 31 May 2028, WP6 by 30 Nov 2028, WP7 by 31 May 2029. WP4–WP7 run six months each (Jan 2028 – Dec 2029); final go-live 31 Dec 2029, the same end date as the proposal. Only the stabilisation / warranty months of a package run alongside the next package.</t>
  </si>
  <si>
    <t>Suggested contract clause (to confirm with the procurement / legal cell): liquidated damages for delay past the go-live deadline, e.g. 0.05% of the package value per day, capped at 10% (PPR and standard tender document terms apply).</t>
  </si>
  <si>
    <t>BSTI estimates (yellow cells): no scope in the SRS or deck</t>
  </si>
  <si>
    <t>Common platform (unified portal and SSO, 23-office organogram, workflow / fee-payment / certificate-QR engines, v1 data migration): 60 features.</t>
  </si>
  <si>
    <t>BDS (Standards) sale re-platforming: 40 features. It is live in v1, has no SRS section, and takes service 23's slot.</t>
  </si>
  <si>
    <t>Suspension / cancellation / withdrawal of all certificates and licences (serial.docx footnote): 30 features, built once in WP3 (CM) and reused by later packages.</t>
  </si>
  <si>
    <t>MSC Scope Inclusion: 50 features. BSW API integration: 30 features.</t>
  </si>
  <si>
    <t>Points to confirm</t>
  </si>
  <si>
    <t>Registered Importer/Exporter (new and renewal) are marked * in serial.docx. They are included as the last priority (WP7). Set 'Include?' to N on 'Work Volume' to drop them; the freed amount is spread over the rest automatically.</t>
  </si>
  <si>
    <t>Metrology dealer licence (earlier proposed as replacement for service 22) is not in serial.docx and is not costed here.</t>
  </si>
  <si>
    <t>VAT/tax rate for the approval check (15% assumed), and whether the 2-crore limit is measured including VAT.</t>
  </si>
  <si>
    <t>Feature counts are OrangeBD's own; they measure documented scope, not effort. An independent effort estimate would firm up the split.</t>
  </si>
  <si>
    <t>To meet December 2027 with no overlap, WP1–WP3 have 1-month design, build and UAT windows (4 + 4 + 3 months). OrangeBD must confirm it can staff this; otherwise either the Dec 2027 deadline or the no-overlap rule has to give.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</si>
</sst>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gt;=10000000]##,##,##,##0;[&gt;=100000]##,##,##0;##,##0"/>
    <numFmt numFmtId="165" formatCode="0.000;(0.000);&quot;-&quot;"/>
    <numFmt numFmtId="166" formatCode="dd-mmm-yyyy"/>
    <numFmt numFmtId="167" formatCode="0.0"/>
    <numFmt numFmtId="168" formatCode="#,##0.00;(#,##0.00);&quot;-&quot;"/>
    <numFmt numFmtId="169" formatCode="0.0%;(0.0%);&quot;-&quot;"/>
  </numFmts>
  <fonts count="11" x14ac:knownFonts="1">
    <font>
      <color theme="1"/>
      <family val="2"/>
      <scheme val="minor"/>
      <sz val="11"/>
      <name val="Calibri"/>
    </font>
    <font>
      <b/>
      <sz val="14"/>
      <name val="Arial"/>
    </font>
    <font>
      <i/>
      <color rgb="FF595959"/>
      <sz val="9"/>
      <name val="Arial"/>
    </font>
    <font>
      <b/>
      <sz val="10"/>
      <name val="Arial"/>
    </font>
    <font>
      <color rgb="FF008000"/>
      <sz val="10"/>
      <name val="Arial"/>
    </font>
    <font>
      <b/>
      <color rgb="FFFFFFFF"/>
      <sz val="10"/>
      <name val="Arial"/>
    </font>
    <font>
      <color rgb="FF0000FF"/>
      <sz val="10"/>
      <name val="Arial"/>
    </font>
    <font>
      <sz val="10"/>
      <name val="Arial"/>
    </font>
    <font>
      <i/>
      <sz val="9"/>
      <name val="Arial"/>
    </font>
    <font>
      <b/>
      <sz val="8"/>
      <name val="Arial"/>
    </font>
    <font>
      <sz val="8"/>
      <name val="Arial"/>
    </font>
  </fonts>
  <fills count="6">
    <fill>
      <patternFill patternType="none"/>
    </fill>
    <fill>
      <patternFill patternType="gray125"/>
    </fill>
    <fill>
      <patternFill patternType="solid">
        <fgColor rgb="FF1F4E78"/>
      </patternFill>
    </fill>
    <fill>
      <patternFill patternType="solid">
        <fgColor rgb="FFDDEBF7"/>
      </patternFill>
    </fill>
    <fill>
      <patternFill patternType="solid">
        <fgColor rgb="FFFFFF00"/>
      </patternFill>
    </fill>
    <fill>
      <patternFill patternType="solid">
        <fgColor rgb="FFF2F2F2"/>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1">
    <xf numFmtId="0" fontId="0" fillId="0" borderId="0"/>
  </cellStyleXfs>
  <cellXfs count="69">
    <xf numFmtId="0" fontId="0" fillId="0" borderId="0" xfId="0"/>
    <xf numFmtId="0" fontId="1" fillId="0" borderId="0" xfId="0" applyFont="1"/>
    <xf numFmtId="0" fontId="2" fillId="0" borderId="0" xfId="0" applyFont="1" applyAlignment="1">
      <alignment vertical="top" wrapText="1"/>
    </xf>
    <xf numFmtId="0" fontId="3" fillId="0" borderId="1" xfId="0" applyFont="1" applyBorder="1" applyAlignment="1">
      <alignment vertical="top" wrapText="1"/>
    </xf>
    <xf numFmtId="164" fontId="4" fillId="0" borderId="1" xfId="0" applyNumberFormat="1" applyFont="1" applyBorder="1" applyAlignment="1">
      <alignment vertical="top" wrapText="1"/>
    </xf>
    <xf numFmtId="1" fontId="4" fillId="0" borderId="1" xfId="0" applyNumberFormat="1" applyFont="1" applyBorder="1" applyAlignment="1">
      <alignment vertical="top" wrapText="1"/>
    </xf>
    <xf numFmtId="165" fontId="4" fillId="0" borderId="1" xfId="0" applyNumberFormat="1" applyFont="1" applyBorder="1" applyAlignment="1">
      <alignment vertical="top" wrapText="1"/>
    </xf>
    <xf numFmtId="166" fontId="4" fillId="0" borderId="1" xfId="0" applyNumberFormat="1" applyFont="1" applyBorder="1" applyAlignment="1">
      <alignment vertical="top" wrapText="1"/>
    </xf>
    <xf numFmtId="0" fontId="3" fillId="0" borderId="0" xfId="0" applyFont="1" applyAlignment="1">
      <alignment vertical="top" wrapText="1"/>
    </xf>
    <xf numFmtId="0" fontId="5"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167" fontId="4" fillId="0" borderId="1" xfId="0" applyNumberFormat="1" applyFont="1" applyBorder="1" applyAlignment="1">
      <alignment vertical="top" wrapText="1"/>
    </xf>
    <xf numFmtId="4" fontId="4" fillId="0" borderId="1" xfId="0" applyNumberFormat="1" applyFont="1" applyBorder="1" applyAlignment="1">
      <alignment vertical="top" wrapText="1"/>
    </xf>
    <xf numFmtId="0" fontId="0" fillId="3" borderId="1" xfId="0" applyFill="1" applyBorder="1"/>
    <xf numFmtId="0" fontId="3" fillId="3" borderId="1" xfId="0" applyFont="1" applyFill="1" applyBorder="1" applyAlignment="1">
      <alignment vertical="top" wrapText="1"/>
    </xf>
    <xf numFmtId="164" fontId="3" fillId="3" borderId="1" xfId="0" applyNumberFormat="1" applyFont="1" applyFill="1" applyBorder="1" applyAlignment="1">
      <alignment vertical="top" wrapText="1"/>
    </xf>
    <xf numFmtId="165" fontId="3" fillId="3" borderId="1" xfId="0" applyNumberFormat="1" applyFont="1" applyFill="1" applyBorder="1" applyAlignment="1">
      <alignment vertical="top" wrapText="1"/>
    </xf>
    <xf numFmtId="0" fontId="3" fillId="3" borderId="1" xfId="0" applyFont="1" applyFill="1" applyBorder="1" applyAlignment="1">
      <alignment horizontal="center" vertical="top" wrapText="1"/>
    </xf>
    <xf numFmtId="167" fontId="3" fillId="3" borderId="1" xfId="0" applyNumberFormat="1" applyFont="1" applyFill="1" applyBorder="1" applyAlignment="1">
      <alignment vertical="top" wrapText="1"/>
    </xf>
    <xf numFmtId="4" fontId="3" fillId="3" borderId="1" xfId="0" applyNumberFormat="1" applyFont="1" applyFill="1" applyBorder="1" applyAlignment="1">
      <alignment vertical="top" wrapText="1"/>
    </xf>
    <xf numFmtId="0" fontId="0" fillId="0" borderId="0" xfId="0" applyAlignment="1">
      <alignment vertical="center"/>
    </xf>
    <xf numFmtId="0" fontId="3" fillId="0" borderId="2" xfId="0" applyFont="1" applyBorder="1" applyAlignment="1">
      <alignment horizontal="center" vertical="center" wrapText="1"/>
    </xf>
    <xf numFmtId="0" fontId="6" fillId="0" borderId="1" xfId="0" applyFont="1" applyBorder="1" applyAlignment="1">
      <alignment horizontal="center" vertical="top" wrapText="1"/>
    </xf>
    <xf numFmtId="164" fontId="7" fillId="0" borderId="1" xfId="0" applyNumberFormat="1" applyFont="1" applyBorder="1" applyAlignment="1">
      <alignment vertical="top" wrapText="1"/>
    </xf>
    <xf numFmtId="168" fontId="7" fillId="0" borderId="1" xfId="0" applyNumberFormat="1" applyFont="1" applyBorder="1" applyAlignment="1">
      <alignment vertical="top" wrapText="1"/>
    </xf>
    <xf numFmtId="0" fontId="0" fillId="3" borderId="0" xfId="0" applyFill="1"/>
    <xf numFmtId="168" fontId="3" fillId="3" borderId="1" xfId="0" applyNumberFormat="1" applyFont="1" applyFill="1" applyBorder="1" applyAlignment="1">
      <alignment vertical="top" wrapText="1"/>
    </xf>
    <xf numFmtId="0" fontId="7" fillId="0" borderId="1" xfId="0" applyFont="1" applyBorder="1" applyAlignment="1">
      <alignment vertical="top" wrapText="1"/>
    </xf>
    <xf numFmtId="0" fontId="8" fillId="0" borderId="0" xfId="0" applyFont="1" applyAlignment="1">
      <alignment vertical="top"/>
    </xf>
    <xf numFmtId="0" fontId="2" fillId="0" borderId="0" xfId="0" applyFont="1"/>
    <xf numFmtId="164" fontId="6" fillId="0" borderId="1" xfId="0" applyNumberFormat="1" applyFont="1" applyBorder="1" applyAlignment="1">
      <alignment vertical="top" wrapText="1"/>
    </xf>
    <xf numFmtId="0" fontId="2" fillId="0" borderId="1" xfId="0" applyFont="1" applyBorder="1" applyAlignment="1">
      <alignment vertical="top" wrapText="1"/>
    </xf>
    <xf numFmtId="169" fontId="6" fillId="4" borderId="1" xfId="0" applyNumberFormat="1" applyFont="1" applyFill="1" applyBorder="1" applyAlignment="1">
      <alignment vertical="top" wrapText="1"/>
    </xf>
    <xf numFmtId="0" fontId="6" fillId="4" borderId="1" xfId="0" applyFont="1" applyFill="1" applyBorder="1" applyAlignment="1">
      <alignment vertical="top" wrapText="1"/>
    </xf>
    <xf numFmtId="1" fontId="6" fillId="0" borderId="1" xfId="0" applyNumberFormat="1" applyFont="1" applyBorder="1" applyAlignment="1">
      <alignment vertical="top" wrapText="1"/>
    </xf>
    <xf numFmtId="1" fontId="6" fillId="4" borderId="1" xfId="0" applyNumberFormat="1" applyFont="1" applyFill="1" applyBorder="1" applyAlignment="1">
      <alignment vertical="top" wrapText="1"/>
    </xf>
    <xf numFmtId="166" fontId="6" fillId="0" borderId="1" xfId="0" applyNumberFormat="1" applyFont="1" applyBorder="1" applyAlignment="1">
      <alignment vertical="top" wrapText="1"/>
    </xf>
    <xf numFmtId="0" fontId="3" fillId="5" borderId="1" xfId="0" applyFont="1" applyFill="1" applyBorder="1" applyAlignment="1">
      <alignment vertical="top" wrapText="1"/>
    </xf>
    <xf numFmtId="2" fontId="6" fillId="4" borderId="1" xfId="0" applyNumberFormat="1" applyFont="1" applyFill="1" applyBorder="1" applyAlignment="1">
      <alignment vertical="top" wrapText="1"/>
    </xf>
    <xf numFmtId="0" fontId="7" fillId="0" borderId="1" xfId="0" applyFont="1" applyBorder="1" applyAlignment="1">
      <alignment horizontal="center" vertical="top" wrapText="1"/>
    </xf>
    <xf numFmtId="167" fontId="6" fillId="4" borderId="1" xfId="0" applyNumberFormat="1" applyFont="1" applyFill="1" applyBorder="1" applyAlignment="1">
      <alignment vertical="top" wrapText="1"/>
    </xf>
    <xf numFmtId="0" fontId="2" fillId="4" borderId="1" xfId="0" applyFont="1" applyFill="1" applyBorder="1" applyAlignment="1">
      <alignment vertical="top" wrapText="1"/>
    </xf>
    <xf numFmtId="2" fontId="4" fillId="0" borderId="1" xfId="0" applyNumberFormat="1" applyFont="1" applyBorder="1" applyAlignment="1">
      <alignment vertical="top" wrapText="1"/>
    </xf>
    <xf numFmtId="167" fontId="7" fillId="0" borderId="1" xfId="0" applyNumberFormat="1" applyFont="1" applyBorder="1" applyAlignment="1">
      <alignment vertical="top" wrapText="1"/>
    </xf>
    <xf numFmtId="169" fontId="7" fillId="0" borderId="1" xfId="0" applyNumberFormat="1" applyFont="1" applyBorder="1" applyAlignment="1">
      <alignment vertical="top" wrapText="1"/>
    </xf>
    <xf numFmtId="167" fontId="6" fillId="0" borderId="1" xfId="0" applyNumberFormat="1" applyFont="1" applyBorder="1" applyAlignment="1">
      <alignment vertical="top" wrapText="1"/>
    </xf>
    <xf numFmtId="169" fontId="3" fillId="3" borderId="1" xfId="0" applyNumberFormat="1" applyFont="1" applyFill="1" applyBorder="1" applyAlignment="1">
      <alignment vertical="top" wrapText="1"/>
    </xf>
    <xf numFmtId="164" fontId="3" fillId="0" borderId="1" xfId="0" applyNumberFormat="1" applyFont="1" applyBorder="1" applyAlignment="1">
      <alignment vertical="top" wrapText="1"/>
    </xf>
    <xf numFmtId="0" fontId="3" fillId="0" borderId="1" xfId="0" applyFont="1" applyBorder="1" applyAlignment="1">
      <alignment horizontal="center" vertical="top" wrapText="1"/>
    </xf>
    <xf numFmtId="165" fontId="7" fillId="0" borderId="1" xfId="0" applyNumberFormat="1" applyFont="1" applyBorder="1" applyAlignment="1">
      <alignment vertical="top" wrapText="1"/>
    </xf>
    <xf numFmtId="1" fontId="6" fillId="0" borderId="1" xfId="0" applyNumberFormat="1" applyFont="1" applyBorder="1" applyAlignment="1">
      <alignment horizontal="center" vertical="top" wrapText="1"/>
    </xf>
    <xf numFmtId="1" fontId="3" fillId="0" borderId="1" xfId="0" applyNumberFormat="1" applyFont="1" applyBorder="1" applyAlignment="1">
      <alignment horizontal="center" vertical="top" wrapText="1"/>
    </xf>
    <xf numFmtId="166" fontId="7" fillId="0" borderId="1" xfId="0" applyNumberFormat="1" applyFont="1" applyBorder="1" applyAlignment="1">
      <alignment vertical="top" wrapText="1"/>
    </xf>
    <xf numFmtId="166" fontId="3" fillId="0" borderId="1" xfId="0" applyNumberFormat="1" applyFont="1" applyBorder="1" applyAlignment="1">
      <alignment vertical="top" wrapText="1"/>
    </xf>
    <xf numFmtId="1" fontId="4" fillId="0" borderId="1" xfId="0" applyNumberFormat="1" applyFont="1" applyBorder="1" applyAlignment="1">
      <alignment horizontal="center" vertical="top" wrapText="1"/>
    </xf>
    <xf numFmtId="166" fontId="3" fillId="3" borderId="1" xfId="0" applyNumberFormat="1" applyFont="1" applyFill="1" applyBorder="1" applyAlignment="1">
      <alignment vertical="top" wrapText="1"/>
    </xf>
    <xf numFmtId="1" fontId="3" fillId="3" borderId="1" xfId="0" applyNumberFormat="1" applyFont="1" applyFill="1" applyBorder="1" applyAlignment="1">
      <alignment vertical="top" wrapText="1"/>
    </xf>
    <xf numFmtId="165" fontId="3" fillId="0" borderId="1" xfId="0" applyNumberFormat="1" applyFont="1" applyBorder="1" applyAlignment="1">
      <alignment vertical="top" wrapText="1"/>
    </xf>
    <xf numFmtId="1" fontId="3" fillId="0" borderId="1" xfId="0" applyNumberFormat="1" applyFont="1" applyBorder="1" applyAlignment="1">
      <alignment vertical="top" wrapText="1"/>
    </xf>
    <xf numFmtId="169" fontId="6" fillId="0" borderId="1" xfId="0" applyNumberFormat="1" applyFont="1" applyBorder="1" applyAlignment="1">
      <alignment vertical="top" wrapText="1"/>
    </xf>
    <xf numFmtId="1" fontId="7" fillId="0" borderId="1" xfId="0" applyNumberFormat="1" applyFont="1" applyBorder="1" applyAlignment="1">
      <alignment horizontal="center" vertical="top" wrapText="1"/>
    </xf>
    <xf numFmtId="169" fontId="4" fillId="0" borderId="1" xfId="0" applyNumberFormat="1" applyFont="1" applyBorder="1" applyAlignment="1">
      <alignment vertical="top" wrapText="1"/>
    </xf>
    <xf numFmtId="17" fontId="5" fillId="2" borderId="1" xfId="0" applyNumberFormat="1" applyFont="1" applyFill="1" applyBorder="1" applyAlignment="1">
      <alignment horizontal="center" textRotation="90"/>
    </xf>
    <xf numFmtId="0" fontId="9" fillId="0" borderId="1" xfId="0" applyFont="1" applyBorder="1" applyAlignment="1">
      <alignment horizontal="center" vertical="center"/>
    </xf>
    <xf numFmtId="1" fontId="10" fillId="0" borderId="1" xfId="0" applyNumberFormat="1" applyFont="1" applyBorder="1" applyAlignment="1">
      <alignment horizontal="center"/>
    </xf>
    <xf numFmtId="0" fontId="3" fillId="0" borderId="0" xfId="0" applyFont="1"/>
    <xf numFmtId="0" fontId="7" fillId="0" borderId="0" xfId="0" applyFont="1" applyAlignment="1">
      <alignment vertical="top"/>
    </xf>
    <xf numFmtId="0" fontId="7" fillId="0" borderId="0" xfId="0" applyFont="1" applyAlignment="1">
      <alignment vertical="top" wrapText="1"/>
    </xf>
  </cellXfs>
  <cellStyles count="1">
    <cellStyle name="Normal" xfId="0" builtinId="0"/>
  </cellStyles>
  <dxfs count="15">
    <dxf>
      <fill>
        <patternFill patternType="solid">
          <fgColor rgb="FFC6EFCE"/>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bgColor rgb="FFC6EFCE"/>
        </patternFill>
      </fill>
    </dxf>
    <dxf>
      <fill>
        <patternFill patternType="solid">
          <bgColor rgb="FFFFC7CE"/>
        </patternFill>
      </fill>
    </dxf>
    <dxf>
      <font>
        <b/>
        <color rgb="FF9C0006"/>
        <name val="Arial"/>
      </font>
      <fill>
        <patternFill patternType="solid">
          <fgColor rgb="FFFFC7CE"/>
        </patternFill>
      </fill>
    </dxf>
    <dxf>
      <fill>
        <patternFill patternType="solid">
          <fgColor rgb="FFC6EFCE"/>
        </patternFill>
      </fill>
    </dxf>
    <dxf>
      <fill>
        <patternFill patternType="solid">
          <bgColor rgb="FFC6EFCE"/>
        </patternFill>
      </fill>
    </dxf>
    <dxf>
      <fill>
        <patternFill patternType="solid">
          <bgColor rgb="FFFFC7CE"/>
        </patternFill>
      </fill>
    </dxf>
    <dxf>
      <fill>
        <patternFill patternType="solid">
          <fgColor rgb="FFBDD7EE"/>
        </patternFill>
      </fill>
    </dxf>
    <dxf>
      <fill>
        <patternFill patternType="solid">
          <fgColor rgb="FF5B9BD5"/>
        </patternFill>
      </fill>
    </dxf>
    <dxf>
      <fill>
        <patternFill patternType="solid">
          <fgColor rgb="FFFFD966"/>
        </patternFill>
      </fill>
    </dxf>
    <dxf>
      <fill>
        <patternFill patternType="solid">
          <fgColor rgb="FF70AD47"/>
        </patternFill>
      </fill>
    </dxf>
    <dxf>
      <fill>
        <patternFill patternType="solid">
          <fgColor rgb="FFD9D9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70"/>
  <sheetViews>
    <sheetView workbookViewId="0" showGridLines="0" zoomScale="100" zoomScaleNormal="100">
      <selection activeCell="Q15" sqref="Q15"/>
    </sheetView>
  </sheetViews>
  <sheetFormatPr defaultRowHeight="14.4" outlineLevelRow="0" outlineLevelCol="0" x14ac:dyDescent="0.3" customHeight="1"/>
  <cols>
    <col min="2" max="2" width="52" customWidth="1"/>
    <col min="3" max="4" width="17" customWidth="1"/>
    <col min="5" max="6" width="14" customWidth="1"/>
    <col min="7" max="7" width="15" customWidth="1"/>
    <col min="8" max="8" width="14" customWidth="1"/>
    <col min="9" max="9" width="2" customWidth="1"/>
    <col min="10" max="10" width="8" customWidth="1"/>
    <col min="11" max="11" width="10" customWidth="1"/>
    <col min="12" max="12" width="58" customWidth="1"/>
    <col min="13" max="13" width="7" customWidth="1"/>
    <col min="14" max="14" width="8" customWidth="1"/>
    <col min="15" max="16" width="15" customWidth="1"/>
    <col min="17" max="18" width="10" customWidth="1"/>
  </cols>
  <sheetData>
    <row r="1" ht="17.4" customHeight="1" spans="1:1" x14ac:dyDescent="0.25">
      <c r="A1" s="1" t="s">
        <v>0</v>
      </c>
    </row>
    <row r="2" ht="25.95" customHeight="1" spans="1:8" x14ac:dyDescent="0.25">
      <c r="A2" s="2" t="s">
        <v>1</v>
      </c>
      <c r="B2"/>
      <c r="C2"/>
      <c r="D2"/>
      <c r="E2"/>
      <c r="F2"/>
      <c r="G2"/>
      <c r="H2"/>
    </row>
    <row r="4" spans="1:3" x14ac:dyDescent="0.25">
      <c r="B4" s="3" t="s">
        <v>2</v>
      </c>
      <c r="C4" s="4">
        <f>Inputs!B4</f>
        <v>111665000</v>
      </c>
    </row>
    <row r="5" spans="1:3" x14ac:dyDescent="0.25">
      <c r="B5" s="3" t="s">
        <v>3</v>
      </c>
      <c r="C5" s="4">
        <f>Inputs!B10</f>
        <v>75240000</v>
      </c>
    </row>
    <row r="6" spans="1:3" x14ac:dyDescent="0.25">
      <c r="B6" s="3" t="s">
        <v>4</v>
      </c>
      <c r="C6" s="4">
        <f>C4+C5</f>
        <v>186905000</v>
      </c>
    </row>
    <row r="7" spans="1:3" x14ac:dyDescent="0.25">
      <c r="B7" s="3" t="s">
        <v>5</v>
      </c>
      <c r="C7" s="5">
        <f>COUNTA(Packages!A5:A11)</f>
        <v>7</v>
      </c>
    </row>
    <row r="8" spans="1:3" x14ac:dyDescent="0.25">
      <c r="B8" s="3" t="s">
        <v>6</v>
      </c>
      <c r="C8" s="6">
        <f>Packages!F15</f>
        <v>1.997205</v>
      </c>
    </row>
    <row r="9" spans="1:3" x14ac:dyDescent="0.25">
      <c r="B9" s="3" t="s">
        <v>7</v>
      </c>
      <c r="C9" s="7">
        <f>Packages!U12</f>
        <v>47483</v>
      </c>
    </row>
    <row r="11" ht="39.6" customHeight="1" spans="1:10" x14ac:dyDescent="0.25">
      <c r="A11" s="8" t="s">
        <v>8</v>
      </c>
      <c r="J11" s="8" t="s">
        <v>9</v>
      </c>
    </row>
    <row r="12" ht="30" customHeight="1" spans="1:18" x14ac:dyDescent="0.25">
      <c r="A12" s="9" t="s">
        <v>10</v>
      </c>
      <c r="B12" s="9" t="s">
        <v>11</v>
      </c>
      <c r="C12" s="9" t="s">
        <v>12</v>
      </c>
      <c r="D12" s="9" t="s">
        <v>13</v>
      </c>
      <c r="E12" s="9" t="s">
        <v>14</v>
      </c>
      <c r="F12" s="9" t="s">
        <v>15</v>
      </c>
      <c r="G12" s="9" t="s">
        <v>16</v>
      </c>
      <c r="H12" s="9" t="s">
        <v>17</v>
      </c>
      <c r="J12" s="9" t="s">
        <v>10</v>
      </c>
      <c r="K12" s="9" t="s">
        <v>18</v>
      </c>
      <c r="L12" s="9" t="s">
        <v>19</v>
      </c>
      <c r="M12" s="9" t="s">
        <v>20</v>
      </c>
      <c r="N12" s="9" t="s">
        <v>21</v>
      </c>
      <c r="O12" s="9" t="s">
        <v>22</v>
      </c>
      <c r="P12" s="9" t="s">
        <v>23</v>
      </c>
      <c r="Q12" s="9" t="s">
        <v>24</v>
      </c>
      <c r="R12" s="9" t="s">
        <v>25</v>
      </c>
    </row>
    <row r="13" ht="30" customHeight="1" spans="1:18" x14ac:dyDescent="0.25">
      <c r="A13" s="10" t="str">
        <f>Packages!A5</f>
        <v>WP1</v>
      </c>
      <c r="B13" s="11" t="str">
        <f>Packages!B5</f>
        <v>BSTI 2.0 transformation (phase 1): operation &amp; maintenance of the 5 live services from Aug 2026 + total restructuring: common platform (portal, SSO, 23-office organogram, shared engines, data migration) and re-platforming of HRM &amp; Leave, Payroll, Standards (BDS) sale, CM new and PCR (new, renewal, brand inclusion)</v>
      </c>
      <c r="C13" s="4">
        <f>Packages!F5</f>
        <v>16224000</v>
      </c>
      <c r="D13" s="4">
        <f>Packages!H5</f>
        <v>18657600</v>
      </c>
      <c r="E13" s="6">
        <f>Packages!I5</f>
        <v>1.86576</v>
      </c>
      <c r="F13" s="10" t="str">
        <f>Packages!J5</f>
        <v>OK</v>
      </c>
      <c r="G13" s="7">
        <f>Packages!K5</f>
        <v>46388</v>
      </c>
      <c r="H13" s="7">
        <f>Packages!U5</f>
        <v>46507</v>
      </c>
      <c r="J13" s="10" t="s">
        <v>26</v>
      </c>
      <c r="K13" s="10" t="s">
        <v>27</v>
      </c>
      <c r="L13" s="11" t="s">
        <v>28</v>
      </c>
      <c r="M13" s="10" t="s">
        <v>29</v>
      </c>
      <c r="N13" s="12"/>
      <c r="O13" s="4">
        <f>Inputs!$B$5</f>
        <v>1625000</v>
      </c>
      <c r="P13" s="4">
        <f>O13*(1+Inputs!$B$8)</f>
        <v>1868750</v>
      </c>
      <c r="Q13" s="13">
        <f>O13/100000</f>
        <v>16.25</v>
      </c>
      <c r="R13" s="10"/>
    </row>
    <row r="14" ht="30" customHeight="1" spans="1:18" x14ac:dyDescent="0.25">
      <c r="A14" s="10" t="str">
        <f>Packages!A6</f>
        <v>WP2</v>
      </c>
      <c r="B14" s="11" t="str">
        <f>Packages!B6</f>
        <v>Accounts and laboratory testing (Chemical, Physical, Energy Meter)</v>
      </c>
      <c r="C14" s="4">
        <f>Packages!F6</f>
        <v>16241000</v>
      </c>
      <c r="D14" s="4">
        <f>Packages!H6</f>
        <v>18677150</v>
      </c>
      <c r="E14" s="6">
        <f>Packages!I6</f>
        <v>1.867715</v>
      </c>
      <c r="F14" s="10" t="str">
        <f>Packages!J6</f>
        <v>OK</v>
      </c>
      <c r="G14" s="7">
        <f>Packages!K6</f>
        <v>46508</v>
      </c>
      <c r="H14" s="7">
        <f>Packages!U6</f>
        <v>46630</v>
      </c>
      <c r="J14" s="10" t="str">
        <f>'Work Volume'!D5</f>
        <v>WP1</v>
      </c>
      <c r="K14" s="10">
        <f>'Work Volume'!B5</f>
        <v>1</v>
      </c>
      <c r="L14" s="11" t="str">
        <f>'Work Volume'!C5</f>
        <v>BSTI 2.0 Transformation: common platform (unified portal &amp; SSO, 23-office organogram, workflow / fee-payment / certificate-QR engines, v1 data migration)</v>
      </c>
      <c r="M14" s="10" t="str">
        <f>'Work Volume'!K5</f>
        <v>N</v>
      </c>
      <c r="N14" s="12">
        <f>'Work Volume'!N5</f>
        <v>60</v>
      </c>
      <c r="O14" s="4">
        <f>ROUND('Work Volume'!P5,Inputs!$B$14)</f>
        <v>3650000</v>
      </c>
      <c r="P14" s="4">
        <f>O14*(1+Inputs!$B$8)</f>
        <v>4197500</v>
      </c>
      <c r="Q14" s="13">
        <f>O14/100000</f>
        <v>36.5</v>
      </c>
      <c r="R14" s="10"/>
    </row>
    <row r="15" ht="30" customHeight="1" spans="1:18" x14ac:dyDescent="0.25">
      <c r="A15" s="10" t="str">
        <f>Packages!A7</f>
        <v>WP3</v>
      </c>
      <c r="B15" s="11" t="str">
        <f>Packages!B7</f>
        <v>CM licence services (non-scope renewal &amp; brand inclusion; scope new, renewal &amp; brand inclusion) + common suspension / cancellation / withdrawal</v>
      </c>
      <c r="C15" s="4">
        <f>Packages!F7</f>
        <v>14721000</v>
      </c>
      <c r="D15" s="4">
        <f>Packages!H7</f>
        <v>16929150</v>
      </c>
      <c r="E15" s="6">
        <f>Packages!I7</f>
        <v>1.692915</v>
      </c>
      <c r="F15" s="10" t="str">
        <f>Packages!J7</f>
        <v>OK</v>
      </c>
      <c r="G15" s="7">
        <f>Packages!K7</f>
        <v>46631</v>
      </c>
      <c r="H15" s="7">
        <f>Packages!U7</f>
        <v>46721</v>
      </c>
      <c r="J15" s="10" t="str">
        <f>'Work Volume'!D6</f>
        <v>WP1</v>
      </c>
      <c r="K15" s="10" t="str">
        <f>'Work Volume'!B6</f>
        <v>1(i)</v>
      </c>
      <c r="L15" s="11" t="str">
        <f>'Work Volume'!C6</f>
        <v>HRM &amp; Leave</v>
      </c>
      <c r="M15" s="10" t="str">
        <f>'Work Volume'!K6</f>
        <v>L</v>
      </c>
      <c r="N15" s="12">
        <f>'Work Volume'!N6</f>
        <v>24.5</v>
      </c>
      <c r="O15" s="4">
        <f>ROUND('Work Volume'!P6,Inputs!$B$14)</f>
        <v>1490000</v>
      </c>
      <c r="P15" s="4">
        <f>O15*(1+Inputs!$B$8)</f>
        <v>1713500</v>
      </c>
      <c r="Q15" s="13">
        <f>O15/100000</f>
        <v>14.9</v>
      </c>
      <c r="R15" s="10"/>
    </row>
    <row r="16" ht="30" customHeight="1" spans="1:18" x14ac:dyDescent="0.25">
      <c r="A16" s="10" t="str">
        <f>Packages!A8</f>
        <v>WP4</v>
      </c>
      <c r="B16" s="11" t="str">
        <f>Packages!B8</f>
        <v>Enforcement &amp; field metrology: Mobile Court, Surveillance, Verification, Tank Calibration, Metrology Licence, Storage Tank Calibration</v>
      </c>
      <c r="C16" s="4">
        <f>Packages!F8</f>
        <v>17336000</v>
      </c>
      <c r="D16" s="4">
        <f>Packages!H8</f>
        <v>19936400</v>
      </c>
      <c r="E16" s="6">
        <f>Packages!I8</f>
        <v>1.99364</v>
      </c>
      <c r="F16" s="10" t="str">
        <f>Packages!J8</f>
        <v>OK</v>
      </c>
      <c r="G16" s="7">
        <f>Packages!K8</f>
        <v>46753</v>
      </c>
      <c r="H16" s="7">
        <f>Packages!U8</f>
        <v>46934</v>
      </c>
      <c r="J16" s="10" t="str">
        <f>'Work Volume'!D7</f>
        <v>WP1</v>
      </c>
      <c r="K16" s="10" t="str">
        <f>'Work Volume'!B7</f>
        <v>1(ii)</v>
      </c>
      <c r="L16" s="11" t="str">
        <f>'Work Volume'!C7</f>
        <v>Payroll</v>
      </c>
      <c r="M16" s="10" t="str">
        <f>'Work Volume'!K7</f>
        <v>L</v>
      </c>
      <c r="N16" s="12">
        <f>'Work Volume'!N7</f>
        <v>42</v>
      </c>
      <c r="O16" s="4">
        <f>ROUND('Work Volume'!P7,Inputs!$B$14)</f>
        <v>2555000</v>
      </c>
      <c r="P16" s="4">
        <f>O16*(1+Inputs!$B$8)</f>
        <v>2938250</v>
      </c>
      <c r="Q16" s="13">
        <f>O16/100000</f>
        <v>25.55</v>
      </c>
      <c r="R16" s="10"/>
    </row>
    <row r="17" ht="30" customHeight="1" spans="1:18" x14ac:dyDescent="0.25">
      <c r="A17" s="10" t="str">
        <f>Packages!A9</f>
        <v>WP5</v>
      </c>
      <c r="B17" s="11" t="str">
        <f>Packages!B9</f>
        <v>MSC services (issue, renewal, scope inclusion)</v>
      </c>
      <c r="C17" s="4">
        <f>Packages!F9</f>
        <v>16241000</v>
      </c>
      <c r="D17" s="4">
        <f>Packages!H9</f>
        <v>18677150</v>
      </c>
      <c r="E17" s="6">
        <f>Packages!I9</f>
        <v>1.867715</v>
      </c>
      <c r="F17" s="10" t="str">
        <f>Packages!J9</f>
        <v>OK</v>
      </c>
      <c r="G17" s="7">
        <f>Packages!K9</f>
        <v>46935</v>
      </c>
      <c r="H17" s="7">
        <f>Packages!U9</f>
        <v>47118</v>
      </c>
      <c r="J17" s="10" t="str">
        <f>'Work Volume'!D8</f>
        <v>WP1</v>
      </c>
      <c r="K17" s="10" t="str">
        <f>'Work Volume'!B8</f>
        <v>1(iii)</v>
      </c>
      <c r="L17" s="11" t="str">
        <f>'Work Volume'!C8</f>
        <v>BDS sell (Standards sale)</v>
      </c>
      <c r="M17" s="10" t="str">
        <f>'Work Volume'!K8</f>
        <v>L</v>
      </c>
      <c r="N17" s="12">
        <f>'Work Volume'!N8</f>
        <v>20</v>
      </c>
      <c r="O17" s="4">
        <f>ROUND('Work Volume'!P8,Inputs!$B$14)</f>
        <v>1217000</v>
      </c>
      <c r="P17" s="4">
        <f>O17*(1+Inputs!$B$8)</f>
        <v>1399550</v>
      </c>
      <c r="Q17" s="13">
        <f>O17/100000</f>
        <v>12.17</v>
      </c>
      <c r="R17" s="10"/>
    </row>
    <row r="18" ht="30" customHeight="1" spans="1:18" x14ac:dyDescent="0.25">
      <c r="A18" s="10" t="str">
        <f>Packages!A10</f>
        <v>WP6</v>
      </c>
      <c r="B18" s="11" t="str">
        <f>Packages!B10</f>
        <v>Halal certification, LPG / Fuel station registration, Case Management</v>
      </c>
      <c r="C18" s="4">
        <f>Packages!F10</f>
        <v>17367000</v>
      </c>
      <c r="D18" s="4">
        <f>Packages!H10</f>
        <v>19972050</v>
      </c>
      <c r="E18" s="6">
        <f>Packages!I10</f>
        <v>1.997205</v>
      </c>
      <c r="F18" s="10" t="str">
        <f>Packages!J10</f>
        <v>OK</v>
      </c>
      <c r="G18" s="7">
        <f>Packages!K10</f>
        <v>47119</v>
      </c>
      <c r="H18" s="7">
        <f>Packages!U10</f>
        <v>47299</v>
      </c>
      <c r="J18" s="10" t="str">
        <f>'Work Volume'!D10</f>
        <v>WP1</v>
      </c>
      <c r="K18" s="10" t="str">
        <f>'Work Volume'!B10</f>
        <v>3(i)</v>
      </c>
      <c r="L18" s="11" t="str">
        <f>'Work Volume'!C10</f>
        <v>CM Non-Scope Products (new licence)</v>
      </c>
      <c r="M18" s="10" t="str">
        <f>'Work Volume'!K10</f>
        <v>L</v>
      </c>
      <c r="N18" s="12">
        <f>'Work Volume'!N10</f>
        <v>23</v>
      </c>
      <c r="O18" s="4">
        <f>ROUND('Work Volume'!P10,Inputs!$B$14)</f>
        <v>1399000</v>
      </c>
      <c r="P18" s="4">
        <f>O18*(1+Inputs!$B$8)</f>
        <v>1608850</v>
      </c>
      <c r="Q18" s="13">
        <f>O18/100000</f>
        <v>13.99</v>
      </c>
      <c r="R18" s="10"/>
    </row>
    <row r="19" ht="30" customHeight="1" spans="1:18" x14ac:dyDescent="0.25">
      <c r="A19" s="10" t="str">
        <f>Packages!A11</f>
        <v>WP7</v>
      </c>
      <c r="B19" s="11" t="str">
        <f>Packages!B11</f>
        <v>I&amp;S Metrology Calibration (NML), Building measurement, BSW API integration, Importer/Exporter certificates*</v>
      </c>
      <c r="C19" s="4">
        <f>Packages!F11</f>
        <v>13535000</v>
      </c>
      <c r="D19" s="4">
        <f>Packages!H11</f>
        <v>15565250</v>
      </c>
      <c r="E19" s="6">
        <f>Packages!I11</f>
        <v>1.556525</v>
      </c>
      <c r="F19" s="10" t="str">
        <f>Packages!J11</f>
        <v>OK</v>
      </c>
      <c r="G19" s="7">
        <f>Packages!K11</f>
        <v>47300</v>
      </c>
      <c r="H19" s="7">
        <f>Packages!U11</f>
        <v>47483</v>
      </c>
      <c r="J19" s="10" t="str">
        <f>'Work Volume'!D20</f>
        <v>WP1</v>
      </c>
      <c r="K19" s="10" t="str">
        <f>'Work Volume'!B20</f>
        <v>7(i)</v>
      </c>
      <c r="L19" s="11" t="str">
        <f>'Work Volume'!C20</f>
        <v>PCR new</v>
      </c>
      <c r="M19" s="10" t="str">
        <f>'Work Volume'!K20</f>
        <v>L</v>
      </c>
      <c r="N19" s="12">
        <f>'Work Volume'!N20</f>
        <v>24</v>
      </c>
      <c r="O19" s="4">
        <f>ROUND('Work Volume'!P20,Inputs!$B$14)</f>
        <v>1460000</v>
      </c>
      <c r="P19" s="4">
        <f>O19*(1+Inputs!$B$8)</f>
        <v>1679000</v>
      </c>
      <c r="Q19" s="13">
        <f>O19/100000</f>
        <v>14.6</v>
      </c>
      <c r="R19" s="10"/>
    </row>
    <row r="20" spans="1:18" x14ac:dyDescent="0.25">
      <c r="A20" s="14"/>
      <c r="B20" s="15" t="s">
        <v>30</v>
      </c>
      <c r="C20" s="16">
        <f>SUM(C13:C19)</f>
        <v>111665000</v>
      </c>
      <c r="D20" s="16">
        <f>SUM(D13:D19)</f>
        <v>128414750</v>
      </c>
      <c r="E20" s="17">
        <f>SUM(E13:E19)</f>
        <v>12.841475</v>
      </c>
      <c r="F20" s="14"/>
      <c r="G20" s="14"/>
      <c r="H20" s="14"/>
      <c r="J20" s="10" t="str">
        <f>'Work Volume'!D21</f>
        <v>WP1</v>
      </c>
      <c r="K20" s="10" t="str">
        <f>'Work Volume'!B21</f>
        <v>7(ii)</v>
      </c>
      <c r="L20" s="11" t="str">
        <f>'Work Volume'!C21</f>
        <v>PCR Renewal</v>
      </c>
      <c r="M20" s="10" t="str">
        <f>'Work Volume'!K21</f>
        <v>V</v>
      </c>
      <c r="N20" s="12">
        <f>'Work Volume'!N21</f>
        <v>24</v>
      </c>
      <c r="O20" s="4">
        <f>ROUND('Work Volume'!P21,Inputs!$B$14)</f>
        <v>1460000</v>
      </c>
      <c r="P20" s="4">
        <f>O20*(1+Inputs!$B$8)</f>
        <v>1679000</v>
      </c>
      <c r="Q20" s="13">
        <f>O20/100000</f>
        <v>14.6</v>
      </c>
      <c r="R20" s="10"/>
    </row>
    <row r="21" spans="1:18" x14ac:dyDescent="0.25">
      <c r="J21" s="10" t="str">
        <f>'Work Volume'!D22</f>
        <v>WP1</v>
      </c>
      <c r="K21" s="10" t="str">
        <f>'Work Volume'!B22</f>
        <v>7(iii)</v>
      </c>
      <c r="L21" s="11" t="str">
        <f>'Work Volume'!C22</f>
        <v>PCR Brand Inclusion</v>
      </c>
      <c r="M21" s="10" t="str">
        <f>'Work Volume'!K22</f>
        <v>V</v>
      </c>
      <c r="N21" s="12">
        <f>'Work Volume'!N22</f>
        <v>22.5</v>
      </c>
      <c r="O21" s="4">
        <f>Packages!$F$5-SUM(O13:O20)</f>
        <v>1368000</v>
      </c>
      <c r="P21" s="4">
        <f>O21*(1+Inputs!$B$8)</f>
        <v>1573200</v>
      </c>
      <c r="Q21" s="13">
        <f>O21/100000</f>
        <v>13.68</v>
      </c>
      <c r="R21" s="10"/>
    </row>
    <row r="22" spans="1:18" x14ac:dyDescent="0.25">
      <c r="J22" s="18" t="s">
        <v>26</v>
      </c>
      <c r="K22" s="15"/>
      <c r="L22" s="15" t="s">
        <v>31</v>
      </c>
      <c r="M22" s="15"/>
      <c r="N22" s="19">
        <f>SUM(N13:N21)</f>
        <v>240</v>
      </c>
      <c r="O22" s="16">
        <f>SUM(O13:O21)</f>
        <v>16224000</v>
      </c>
      <c r="P22" s="16">
        <f>SUM(P13:P21)</f>
        <v>18657600</v>
      </c>
      <c r="Q22" s="20">
        <f>SUM(Q13:Q21)</f>
        <v>162.24</v>
      </c>
      <c r="R22" s="18" t="str">
        <f>IF(AND(COUNTIF(J13:J21,"WP1")=9,ABS(O22-Packages!F5)&lt;1),"OK","MOVED")</f>
        <v>OK</v>
      </c>
    </row>
    <row r="23" spans="1:18" x14ac:dyDescent="0.25">
      <c r="J23" s="10" t="str">
        <f>'Work Volume'!D9</f>
        <v>WP2</v>
      </c>
      <c r="K23" s="10">
        <f>'Work Volume'!B9</f>
        <v>2</v>
      </c>
      <c r="L23" s="11" t="str">
        <f>'Work Volume'!C9</f>
        <v>Accounts</v>
      </c>
      <c r="M23" s="10" t="str">
        <f>'Work Volume'!K9</f>
        <v>N</v>
      </c>
      <c r="N23" s="12">
        <f>'Work Volume'!N9</f>
        <v>57</v>
      </c>
      <c r="O23" s="4">
        <f>ROUND('Work Volume'!P9,Inputs!$B$14)</f>
        <v>3467000</v>
      </c>
      <c r="P23" s="4">
        <f>O23*(1+Inputs!$B$8)</f>
        <v>3987050</v>
      </c>
      <c r="Q23" s="13">
        <f>O23/100000</f>
        <v>34.67</v>
      </c>
      <c r="R23" s="10"/>
    </row>
    <row r="24" spans="1:18" x14ac:dyDescent="0.25">
      <c r="J24" s="10" t="str">
        <f>'Work Volume'!D17</f>
        <v>WP2</v>
      </c>
      <c r="K24" s="10">
        <f>'Work Volume'!B17</f>
        <v>4</v>
      </c>
      <c r="L24" s="11" t="str">
        <f>'Work Volume'!C17</f>
        <v>Chemical Testing</v>
      </c>
      <c r="M24" s="10" t="str">
        <f>'Work Volume'!K17</f>
        <v>N</v>
      </c>
      <c r="N24" s="12">
        <f>'Work Volume'!N17</f>
        <v>67</v>
      </c>
      <c r="O24" s="4">
        <f>ROUND('Work Volume'!P17,Inputs!$B$14)</f>
        <v>4076000</v>
      </c>
      <c r="P24" s="4">
        <f>O24*(1+Inputs!$B$8)</f>
        <v>4687400</v>
      </c>
      <c r="Q24" s="13">
        <f>O24/100000</f>
        <v>40.76</v>
      </c>
      <c r="R24" s="10"/>
    </row>
    <row r="25" ht="132" customHeight="1" spans="1:18" s="21" customFormat="1" x14ac:dyDescent="0.25">
      <c r="A25" s="22" t="s">
        <v>32</v>
      </c>
      <c r="B25" s="22"/>
      <c r="C25" s="22"/>
      <c r="D25" s="22"/>
      <c r="E25" s="22"/>
      <c r="F25" s="22"/>
      <c r="G25" s="22"/>
      <c r="H25" s="22"/>
      <c r="I25" s="21"/>
      <c r="J25" s="10" t="str">
        <f>'Work Volume'!D18</f>
        <v>WP2</v>
      </c>
      <c r="K25" s="10">
        <f>'Work Volume'!B18</f>
        <v>5</v>
      </c>
      <c r="L25" s="11" t="str">
        <f>'Work Volume'!C18</f>
        <v>Physical Testing</v>
      </c>
      <c r="M25" s="10" t="str">
        <f>'Work Volume'!K18</f>
        <v>N</v>
      </c>
      <c r="N25" s="12">
        <f>'Work Volume'!N18</f>
        <v>72</v>
      </c>
      <c r="O25" s="4">
        <f>ROUND('Work Volume'!P18,Inputs!$B$14)</f>
        <v>4380000</v>
      </c>
      <c r="P25" s="4">
        <f>O25*(1+Inputs!$B$8)</f>
        <v>5037000</v>
      </c>
      <c r="Q25" s="13">
        <f>O25/100000</f>
        <v>43.8</v>
      </c>
      <c r="R25" s="10"/>
    </row>
    <row r="26" ht="30" customHeight="1" spans="1:18" x14ac:dyDescent="0.25">
      <c r="A26" s="9" t="s">
        <v>33</v>
      </c>
      <c r="B26" s="9"/>
      <c r="C26" s="9" t="s">
        <v>34</v>
      </c>
      <c r="D26" s="9" t="s">
        <v>35</v>
      </c>
      <c r="E26" s="9" t="s">
        <v>36</v>
      </c>
      <c r="F26" s="9" t="s">
        <v>37</v>
      </c>
      <c r="G26" s="9" t="s">
        <v>38</v>
      </c>
      <c r="H26" s="9" t="s">
        <v>39</v>
      </c>
      <c r="J26" s="10" t="str">
        <f>'Work Volume'!D19</f>
        <v>WP2</v>
      </c>
      <c r="K26" s="10">
        <f>'Work Volume'!B19</f>
        <v>6</v>
      </c>
      <c r="L26" s="11" t="str">
        <f>'Work Volume'!C19</f>
        <v>Energy Meter Testing</v>
      </c>
      <c r="M26" s="10" t="str">
        <f>'Work Volume'!K19</f>
        <v>N</v>
      </c>
      <c r="N26" s="12">
        <f>'Work Volume'!N19</f>
        <v>71</v>
      </c>
      <c r="O26" s="4">
        <f>Packages!$F$6-SUM(O23:O25)</f>
        <v>4318000</v>
      </c>
      <c r="P26" s="4">
        <f>O26*(1+Inputs!$B$8)</f>
        <v>4965700</v>
      </c>
      <c r="Q26" s="13">
        <f>O26/100000</f>
        <v>43.18</v>
      </c>
      <c r="R26" s="10"/>
    </row>
    <row r="27" spans="1:18" x14ac:dyDescent="0.25">
      <c r="A27" s="23" t="s">
        <v>40</v>
      </c>
      <c r="C27" s="4">
        <f>SUMIF('Original Offer'!$B$5:$B$19,VALUE(A27),'Original Offer'!$F$5:$F$19)</f>
        <v>1625000</v>
      </c>
      <c r="D27" s="4">
        <f>SUMIFS('Payment Schedule'!$G$5:$G$41,'Payment Schedule'!$F$5:$F$41,VALUE(A27),'Payment Schedule'!$A$5:$A$41,"Rollout")</f>
        <v>1625000</v>
      </c>
      <c r="E27" s="4">
        <f>SUMIFS('Payment Schedule'!$G$5:$G$41,'Payment Schedule'!$F$5:$F$41,VALUE(A27),'Payment Schedule'!$A$5:$A$41,"Maintenance")</f>
        <v>0</v>
      </c>
      <c r="F27" s="24">
        <f>D27+E27</f>
        <v>1625000</v>
      </c>
      <c r="G27" s="25">
        <f>(F27-C27)/100000</f>
        <v>0</v>
      </c>
      <c r="H27" s="4">
        <f>SUMIF('Payment Schedule'!$F$5:$F$41,VALUE(A27),'Payment Schedule'!$I$5:$I$41)</f>
        <v>1868750</v>
      </c>
      <c r="J27" s="18" t="s">
        <v>41</v>
      </c>
      <c r="K27" s="15"/>
      <c r="L27" s="15" t="s">
        <v>42</v>
      </c>
      <c r="M27" s="15"/>
      <c r="N27" s="19">
        <f>SUM(N23:N26)</f>
        <v>267</v>
      </c>
      <c r="O27" s="16">
        <f>SUM(O23:O26)</f>
        <v>16241000</v>
      </c>
      <c r="P27" s="16">
        <f>SUM(P23:P26)</f>
        <v>18677150</v>
      </c>
      <c r="Q27" s="20">
        <f>SUM(Q23:Q26)</f>
        <v>162.41</v>
      </c>
      <c r="R27" s="18" t="str">
        <f>IF(AND(COUNTIF(J23:J26,"WP2")=4,ABS(O27-Packages!F6)&lt;1),"OK","MOVED")</f>
        <v>OK</v>
      </c>
    </row>
    <row r="28" spans="1:18" x14ac:dyDescent="0.25">
      <c r="A28" s="23" t="s">
        <v>43</v>
      </c>
      <c r="C28" s="4">
        <f>SUMIF('Original Offer'!$B$5:$B$19,VALUE(A28),'Original Offer'!$F$5:$F$19)</f>
        <v>20520000</v>
      </c>
      <c r="D28" s="4">
        <f>SUMIFS('Payment Schedule'!$G$5:$G$41,'Payment Schedule'!$F$5:$F$41,VALUE(A28),'Payment Schedule'!$A$5:$A$41,"Rollout")</f>
        <v>44088900</v>
      </c>
      <c r="E28" s="4">
        <f>SUMIFS('Payment Schedule'!$G$5:$G$41,'Payment Schedule'!$F$5:$F$41,VALUE(A28),'Payment Schedule'!$A$5:$A$41,"Maintenance")</f>
        <v>0</v>
      </c>
      <c r="F28" s="24">
        <f>D28+E28</f>
        <v>44088900</v>
      </c>
      <c r="G28" s="25">
        <f>(F28-C28)/100000</f>
        <v>235.689</v>
      </c>
      <c r="H28" s="4">
        <f>SUMIF('Payment Schedule'!$F$5:$F$41,VALUE(A28),'Payment Schedule'!$I$5:$I$41)</f>
        <v>50702235</v>
      </c>
      <c r="J28" s="10" t="str">
        <f>'Work Volume'!D11</f>
        <v>WP3</v>
      </c>
      <c r="K28" s="10" t="str">
        <f>'Work Volume'!B11</f>
        <v>3(ii)</v>
      </c>
      <c r="L28" s="11" t="str">
        <f>'Work Volume'!C11</f>
        <v>CM Non-Scope Product Renewal</v>
      </c>
      <c r="M28" s="10" t="str">
        <f>'Work Volume'!K11</f>
        <v>V</v>
      </c>
      <c r="N28" s="12">
        <f>'Work Volume'!N11</f>
        <v>23</v>
      </c>
      <c r="O28" s="4">
        <f>ROUND('Work Volume'!P11,Inputs!$B$14)</f>
        <v>1399000</v>
      </c>
      <c r="P28" s="4">
        <f>O28*(1+Inputs!$B$8)</f>
        <v>1608850</v>
      </c>
      <c r="Q28" s="13">
        <f>O28/100000</f>
        <v>13.99</v>
      </c>
      <c r="R28" s="10"/>
    </row>
    <row r="29" spans="1:18" x14ac:dyDescent="0.25">
      <c r="A29" s="23" t="s">
        <v>44</v>
      </c>
      <c r="C29" s="4">
        <f>SUMIF('Original Offer'!$B$5:$B$19,VALUE(A29),'Original Offer'!$F$5:$F$19)</f>
        <v>39990000</v>
      </c>
      <c r="D29" s="4">
        <f>SUMIFS('Payment Schedule'!$G$5:$G$41,'Payment Schedule'!$F$5:$F$41,VALUE(A29),'Payment Schedule'!$A$5:$A$41,"Rollout")</f>
        <v>33425000</v>
      </c>
      <c r="E29" s="4">
        <f>SUMIFS('Payment Schedule'!$G$5:$G$41,'Payment Schedule'!$F$5:$F$41,VALUE(A29),'Payment Schedule'!$A$5:$A$41,"Maintenance")</f>
        <v>0</v>
      </c>
      <c r="F29" s="24">
        <f>D29+E29</f>
        <v>33425000</v>
      </c>
      <c r="G29" s="25">
        <f>(F29-C29)/100000</f>
        <v>-65.65</v>
      </c>
      <c r="H29" s="4">
        <f>SUMIF('Payment Schedule'!$F$5:$F$41,VALUE(A29),'Payment Schedule'!$I$5:$I$41)</f>
        <v>38438750</v>
      </c>
      <c r="J29" s="10" t="str">
        <f>'Work Volume'!D12</f>
        <v>WP3</v>
      </c>
      <c r="K29" s="10" t="str">
        <f>'Work Volume'!B12</f>
        <v>3(iii)</v>
      </c>
      <c r="L29" s="11" t="str">
        <f>'Work Volume'!C12</f>
        <v>CM Non-Scope Brand Inclusion</v>
      </c>
      <c r="M29" s="10" t="str">
        <f>'Work Volume'!K12</f>
        <v>V</v>
      </c>
      <c r="N29" s="12">
        <f>'Work Volume'!N12</f>
        <v>23</v>
      </c>
      <c r="O29" s="4">
        <f>ROUND('Work Volume'!P12,Inputs!$B$14)</f>
        <v>1399000</v>
      </c>
      <c r="P29" s="4">
        <f>O29*(1+Inputs!$B$8)</f>
        <v>1608850</v>
      </c>
      <c r="Q29" s="13">
        <f>O29/100000</f>
        <v>13.99</v>
      </c>
      <c r="R29" s="10"/>
    </row>
    <row r="30" spans="1:18" x14ac:dyDescent="0.25">
      <c r="A30" s="23" t="s">
        <v>45</v>
      </c>
      <c r="C30" s="4">
        <f>SUMIF('Original Offer'!$B$5:$B$19,VALUE(A30),'Original Offer'!$F$5:$F$19)</f>
        <v>49530000</v>
      </c>
      <c r="D30" s="4">
        <f>SUMIFS('Payment Schedule'!$G$5:$G$41,'Payment Schedule'!$F$5:$F$41,VALUE(A30),'Payment Schedule'!$A$5:$A$41,"Rollout")</f>
        <v>31172600</v>
      </c>
      <c r="E30" s="4">
        <f>SUMIFS('Payment Schedule'!$G$5:$G$41,'Payment Schedule'!$F$5:$F$41,VALUE(A30),'Payment Schedule'!$A$5:$A$41,"Maintenance")</f>
        <v>0</v>
      </c>
      <c r="F30" s="24">
        <f>D30+E30</f>
        <v>31172600</v>
      </c>
      <c r="G30" s="25">
        <f>(F30-C30)/100000</f>
        <v>-183.574</v>
      </c>
      <c r="H30" s="4">
        <f>SUMIF('Payment Schedule'!$F$5:$F$41,VALUE(A30),'Payment Schedule'!$I$5:$I$41)</f>
        <v>35848490</v>
      </c>
      <c r="J30" s="10" t="str">
        <f>'Work Volume'!D13</f>
        <v>WP3</v>
      </c>
      <c r="K30" s="10" t="str">
        <f>'Work Volume'!B13</f>
        <v>3(iv)</v>
      </c>
      <c r="L30" s="11" t="str">
        <f>'Work Volume'!C13</f>
        <v>CM Scope Product</v>
      </c>
      <c r="M30" s="10" t="str">
        <f>'Work Volume'!K13</f>
        <v>N</v>
      </c>
      <c r="N30" s="12">
        <f>'Work Volume'!N13</f>
        <v>83</v>
      </c>
      <c r="O30" s="4">
        <f>ROUND('Work Volume'!P13,Inputs!$B$14)</f>
        <v>5049000</v>
      </c>
      <c r="P30" s="4">
        <f>O30*(1+Inputs!$B$8)</f>
        <v>5806350</v>
      </c>
      <c r="Q30" s="13">
        <f>O30/100000</f>
        <v>50.49</v>
      </c>
      <c r="R30" s="10"/>
    </row>
    <row r="31" spans="1:18" x14ac:dyDescent="0.25">
      <c r="A31" s="23" t="s">
        <v>46</v>
      </c>
      <c r="C31" s="4">
        <f>SUMIF('Original Offer'!$B$5:$B$19,VALUE(A31),'Original Offer'!$F$5:$F$19)</f>
        <v>37620000</v>
      </c>
      <c r="D31" s="4">
        <f>SUMIFS('Payment Schedule'!$G$5:$G$41,'Payment Schedule'!$F$5:$F$41,VALUE(A31),'Payment Schedule'!$A$5:$A$41,"Rollout")</f>
        <v>1353500</v>
      </c>
      <c r="E31" s="4">
        <f>SUMIFS('Payment Schedule'!$G$5:$G$41,'Payment Schedule'!$F$5:$F$41,VALUE(A31),'Payment Schedule'!$A$5:$A$41,"Maintenance")</f>
        <v>37620000</v>
      </c>
      <c r="F31" s="24">
        <f>D31+E31</f>
        <v>38973500</v>
      </c>
      <c r="G31" s="25">
        <f>(F31-C31)/100000</f>
        <v>13.535</v>
      </c>
      <c r="H31" s="4">
        <f>SUMIF('Payment Schedule'!$F$5:$F$41,VALUE(A31),'Payment Schedule'!$I$5:$I$41)</f>
        <v>44819525</v>
      </c>
      <c r="J31" s="10" t="str">
        <f>'Work Volume'!D14</f>
        <v>WP3</v>
      </c>
      <c r="K31" s="10" t="str">
        <f>'Work Volume'!B14</f>
        <v>3(v)</v>
      </c>
      <c r="L31" s="11" t="str">
        <f>'Work Volume'!C14</f>
        <v>CM Scope Product Renewal</v>
      </c>
      <c r="M31" s="10" t="str">
        <f>'Work Volume'!K14</f>
        <v>V</v>
      </c>
      <c r="N31" s="12">
        <f>'Work Volume'!N14</f>
        <v>41.5</v>
      </c>
      <c r="O31" s="4">
        <f>ROUND('Work Volume'!P14,Inputs!$B$14)</f>
        <v>2524000</v>
      </c>
      <c r="P31" s="4">
        <f>O31*(1+Inputs!$B$8)</f>
        <v>2902600</v>
      </c>
      <c r="Q31" s="13">
        <f>O31/100000</f>
        <v>25.24</v>
      </c>
      <c r="R31" s="10"/>
    </row>
    <row r="32" spans="1:18" x14ac:dyDescent="0.25">
      <c r="A32" s="23" t="s">
        <v>47</v>
      </c>
      <c r="C32" s="4">
        <f>SUMIF('Original Offer'!$B$5:$B$19,VALUE(A32),'Original Offer'!$F$5:$F$19)</f>
        <v>37620000</v>
      </c>
      <c r="D32" s="4">
        <f>SUMIFS('Payment Schedule'!$G$5:$G$41,'Payment Schedule'!$F$5:$F$41,VALUE(A32),'Payment Schedule'!$A$5:$A$41,"Rollout")</f>
        <v>0</v>
      </c>
      <c r="E32" s="4">
        <f>SUMIFS('Payment Schedule'!$G$5:$G$41,'Payment Schedule'!$F$5:$F$41,VALUE(A32),'Payment Schedule'!$A$5:$A$41,"Maintenance")</f>
        <v>37620000</v>
      </c>
      <c r="F32" s="24">
        <f>D32+E32</f>
        <v>37620000</v>
      </c>
      <c r="G32" s="25">
        <f>(F32-C32)/100000</f>
        <v>0</v>
      </c>
      <c r="H32" s="4">
        <f>SUMIF('Payment Schedule'!$F$5:$F$41,VALUE(A32),'Payment Schedule'!$I$5:$I$41)</f>
        <v>43263000</v>
      </c>
      <c r="J32" s="10" t="str">
        <f>'Work Volume'!D15</f>
        <v>WP3</v>
      </c>
      <c r="K32" s="10" t="str">
        <f>'Work Volume'!B15</f>
        <v>3(vi)</v>
      </c>
      <c r="L32" s="11" t="str">
        <f>'Work Volume'!C15</f>
        <v>CM Scope Brand Inclusion</v>
      </c>
      <c r="M32" s="10" t="str">
        <f>'Work Volume'!K15</f>
        <v>V</v>
      </c>
      <c r="N32" s="12">
        <f>'Work Volume'!N15</f>
        <v>41.5</v>
      </c>
      <c r="O32" s="4">
        <f>ROUND('Work Volume'!P15,Inputs!$B$14)</f>
        <v>2524000</v>
      </c>
      <c r="P32" s="4">
        <f>O32*(1+Inputs!$B$8)</f>
        <v>2902600</v>
      </c>
      <c r="Q32" s="13">
        <f>O32/100000</f>
        <v>25.24</v>
      </c>
      <c r="R32" s="10"/>
    </row>
    <row r="33" spans="1:18" x14ac:dyDescent="0.25">
      <c r="A33" s="15" t="s">
        <v>48</v>
      </c>
      <c r="B33" s="26"/>
      <c r="C33" s="16">
        <f>SUM(C27:C32)</f>
        <v>186905000</v>
      </c>
      <c r="D33" s="16">
        <f>SUM(D27:D32)</f>
        <v>111665000</v>
      </c>
      <c r="E33" s="16">
        <f>SUM(E27:E32)</f>
        <v>75240000</v>
      </c>
      <c r="F33" s="16">
        <f>SUM(F27:F32)</f>
        <v>186905000</v>
      </c>
      <c r="G33" s="27">
        <f>ROUND(SUM(G27:G32),2)</f>
        <v>0</v>
      </c>
      <c r="H33" s="16">
        <f>SUM(H27:H32)</f>
        <v>214940750</v>
      </c>
      <c r="J33" s="10" t="str">
        <f>'Work Volume'!D16</f>
        <v>WP3</v>
      </c>
      <c r="K33" s="10" t="str">
        <f>'Work Volume'!B16</f>
        <v>Footnote</v>
      </c>
      <c r="L33" s="11" t="str">
        <f>'Work Volume'!C16</f>
        <v>All types of Suspension / Cancellation / Withdrawal of certificates and licences (common module, reused by every later package)</v>
      </c>
      <c r="M33" s="10" t="str">
        <f>'Work Volume'!K16</f>
        <v>N</v>
      </c>
      <c r="N33" s="12">
        <f>'Work Volume'!N16</f>
        <v>30</v>
      </c>
      <c r="O33" s="4">
        <f>Packages!$F$7-SUM(O28:O32)</f>
        <v>1826000</v>
      </c>
      <c r="P33" s="4">
        <f>O33*(1+Inputs!$B$8)</f>
        <v>2099900</v>
      </c>
      <c r="Q33" s="13">
        <f>O33/100000</f>
        <v>18.26</v>
      </c>
      <c r="R33" s="10"/>
    </row>
    <row r="34" spans="1:18" x14ac:dyDescent="0.25">
      <c r="B34" s="3" t="s">
        <v>49</v>
      </c>
      <c r="C34" s="3" t="str">
        <f>IF(ABS(F33-C33)&lt;1,"OK","ERROR")</f>
        <v>OK</v>
      </c>
      <c r="J34" s="18" t="s">
        <v>50</v>
      </c>
      <c r="K34" s="15"/>
      <c r="L34" s="15" t="s">
        <v>51</v>
      </c>
      <c r="M34" s="15"/>
      <c r="N34" s="19">
        <f>SUM(N28:N33)</f>
        <v>242</v>
      </c>
      <c r="O34" s="16">
        <f>SUM(O28:O33)</f>
        <v>14721000</v>
      </c>
      <c r="P34" s="16">
        <f>SUM(P28:P33)</f>
        <v>16929150</v>
      </c>
      <c r="Q34" s="20">
        <f>SUM(Q28:Q33)</f>
        <v>147.21</v>
      </c>
      <c r="R34" s="18" t="str">
        <f>IF(AND(COUNTIF(J28:J33,"WP3")=6,ABS(O34-Packages!F7)&lt;1),"OK","MOVED")</f>
        <v>OK</v>
      </c>
    </row>
    <row r="35" spans="1:18" x14ac:dyDescent="0.25">
      <c r="J35" s="10" t="str">
        <f>'Work Volume'!D23</f>
        <v>WP4</v>
      </c>
      <c r="K35" s="10">
        <f>'Work Volume'!B23</f>
        <v>8</v>
      </c>
      <c r="L35" s="11" t="str">
        <f>'Work Volume'!C23</f>
        <v>Mobile Court</v>
      </c>
      <c r="M35" s="10" t="str">
        <f>'Work Volume'!K23</f>
        <v>N</v>
      </c>
      <c r="N35" s="12">
        <f>'Work Volume'!N23</f>
        <v>26</v>
      </c>
      <c r="O35" s="4">
        <f>ROUND('Work Volume'!P23,Inputs!$B$14)</f>
        <v>1582000</v>
      </c>
      <c r="P35" s="4">
        <f>O35*(1+Inputs!$B$8)</f>
        <v>1819300</v>
      </c>
      <c r="Q35" s="13">
        <f>O35/100000</f>
        <v>15.82</v>
      </c>
      <c r="R35" s="10"/>
    </row>
    <row r="36" spans="1:18" x14ac:dyDescent="0.25">
      <c r="A36" s="8" t="s">
        <v>52</v>
      </c>
      <c r="J36" s="10" t="str">
        <f>'Work Volume'!D24</f>
        <v>WP4</v>
      </c>
      <c r="K36" s="10" t="str">
        <f>'Work Volume'!B24</f>
        <v>9(i)</v>
      </c>
      <c r="L36" s="11" t="str">
        <f>'Work Volume'!C24</f>
        <v>Surveillance – Operational Activities</v>
      </c>
      <c r="M36" s="10" t="str">
        <f>'Work Volume'!K24</f>
        <v>N</v>
      </c>
      <c r="N36" s="12">
        <f>'Work Volume'!N24</f>
        <v>11.5</v>
      </c>
      <c r="O36" s="4">
        <f>ROUND('Work Volume'!P24,Inputs!$B$14)</f>
        <v>700000</v>
      </c>
      <c r="P36" s="4">
        <f>O36*(1+Inputs!$B$8)</f>
        <v>805000</v>
      </c>
      <c r="Q36" s="13">
        <f>O36/100000</f>
        <v>7</v>
      </c>
      <c r="R36" s="10"/>
    </row>
    <row r="37" spans="1:18" x14ac:dyDescent="0.25">
      <c r="B37" s="28" t="s">
        <v>53</v>
      </c>
      <c r="C37" s="10" t="str">
        <f>Inputs!B27</f>
        <v>OK</v>
      </c>
      <c r="J37" s="10" t="str">
        <f>'Work Volume'!D25</f>
        <v>WP4</v>
      </c>
      <c r="K37" s="10" t="str">
        <f>'Work Volume'!B25</f>
        <v>9(ii)</v>
      </c>
      <c r="L37" s="11" t="str">
        <f>'Work Volume'!C25</f>
        <v>Surveillance – List of Illegal Establishments</v>
      </c>
      <c r="M37" s="10" t="str">
        <f>'Work Volume'!K25</f>
        <v>N</v>
      </c>
      <c r="N37" s="12">
        <f>'Work Volume'!N25</f>
        <v>11.5</v>
      </c>
      <c r="O37" s="4">
        <f>ROUND('Work Volume'!P25,Inputs!$B$14)</f>
        <v>700000</v>
      </c>
      <c r="P37" s="4">
        <f>O37*(1+Inputs!$B$8)</f>
        <v>805000</v>
      </c>
      <c r="Q37" s="13">
        <f>O37/100000</f>
        <v>7</v>
      </c>
      <c r="R37" s="10"/>
    </row>
    <row r="38" spans="1:18" x14ac:dyDescent="0.25">
      <c r="B38" s="28" t="s">
        <v>54</v>
      </c>
      <c r="C38" s="10" t="str">
        <f>'Work Volume'!P54</f>
        <v>OK</v>
      </c>
      <c r="J38" s="10" t="str">
        <f>'Work Volume'!D26</f>
        <v>WP4</v>
      </c>
      <c r="K38" s="10" t="str">
        <f>'Work Volume'!B26</f>
        <v>10(i)</v>
      </c>
      <c r="L38" s="11" t="str">
        <f>'Work Volume'!C26</f>
        <v>Verification – Petrol Pump</v>
      </c>
      <c r="M38" s="10" t="str">
        <f>'Work Volume'!K26</f>
        <v>N</v>
      </c>
      <c r="N38" s="12">
        <f>'Work Volume'!N26</f>
        <v>12</v>
      </c>
      <c r="O38" s="4">
        <f>ROUND('Work Volume'!P26,Inputs!$B$14)</f>
        <v>730000</v>
      </c>
      <c r="P38" s="4">
        <f>O38*(1+Inputs!$B$8)</f>
        <v>839500</v>
      </c>
      <c r="Q38" s="13">
        <f>O38/100000</f>
        <v>7.3</v>
      </c>
      <c r="R38" s="10"/>
    </row>
    <row r="39" spans="1:18" x14ac:dyDescent="0.25">
      <c r="B39" s="28" t="s">
        <v>55</v>
      </c>
      <c r="C39" s="10" t="str">
        <f>Packages!F13</f>
        <v>OK</v>
      </c>
      <c r="J39" s="10" t="str">
        <f>'Work Volume'!D27</f>
        <v>WP4</v>
      </c>
      <c r="K39" s="10" t="str">
        <f>'Work Volume'!B27</f>
        <v>10(ii)</v>
      </c>
      <c r="L39" s="11" t="str">
        <f>'Work Volume'!C27</f>
        <v>Verification – Weighing Scale (general)</v>
      </c>
      <c r="M39" s="10" t="str">
        <f>'Work Volume'!K27</f>
        <v>N</v>
      </c>
      <c r="N39" s="12">
        <f>'Work Volume'!N27</f>
        <v>12</v>
      </c>
      <c r="O39" s="4">
        <f>ROUND('Work Volume'!P27,Inputs!$B$14)</f>
        <v>730000</v>
      </c>
      <c r="P39" s="4">
        <f>O39*(1+Inputs!$B$8)</f>
        <v>839500</v>
      </c>
      <c r="Q39" s="13">
        <f>O39/100000</f>
        <v>7.3</v>
      </c>
      <c r="R39" s="10"/>
    </row>
    <row r="40" spans="1:18" x14ac:dyDescent="0.25">
      <c r="B40" s="28" t="s">
        <v>56</v>
      </c>
      <c r="C40" s="10" t="str">
        <f>Packages!F14</f>
        <v>OK</v>
      </c>
      <c r="J40" s="10" t="str">
        <f>'Work Volume'!D28</f>
        <v>WP4</v>
      </c>
      <c r="K40" s="10" t="str">
        <f>'Work Volume'!B28</f>
        <v>10(iii)</v>
      </c>
      <c r="L40" s="11" t="str">
        <f>'Work Volume'!C28</f>
        <v>Verification – Weighing Scale (Association)</v>
      </c>
      <c r="M40" s="10" t="str">
        <f>'Work Volume'!K28</f>
        <v>N</v>
      </c>
      <c r="N40" s="12">
        <f>'Work Volume'!N28</f>
        <v>12</v>
      </c>
      <c r="O40" s="4">
        <f>ROUND('Work Volume'!P28,Inputs!$B$14)</f>
        <v>730000</v>
      </c>
      <c r="P40" s="4">
        <f>O40*(1+Inputs!$B$8)</f>
        <v>839500</v>
      </c>
      <c r="Q40" s="13">
        <f>O40/100000</f>
        <v>7.3</v>
      </c>
      <c r="R40" s="10"/>
    </row>
    <row r="41" spans="1:18" x14ac:dyDescent="0.25">
      <c r="B41" s="28" t="s">
        <v>57</v>
      </c>
      <c r="C41" s="10" t="str">
        <f>IF(COUNTIF(Packages!J5:J11,"EXCEEDS")=0,"OK","EXCEEDS")</f>
        <v>OK</v>
      </c>
      <c r="J41" s="10" t="str">
        <f>'Work Volume'!D29</f>
        <v>WP4</v>
      </c>
      <c r="K41" s="10" t="str">
        <f>'Work Volume'!B29</f>
        <v>10(iv)</v>
      </c>
      <c r="L41" s="11" t="str">
        <f>'Work Volume'!C29</f>
        <v>Verification – Weighbridge</v>
      </c>
      <c r="M41" s="10" t="str">
        <f>'Work Volume'!K29</f>
        <v>N</v>
      </c>
      <c r="N41" s="12">
        <f>'Work Volume'!N29</f>
        <v>12</v>
      </c>
      <c r="O41" s="4">
        <f>ROUND('Work Volume'!P29,Inputs!$B$14)</f>
        <v>730000</v>
      </c>
      <c r="P41" s="4">
        <f>O41*(1+Inputs!$B$8)</f>
        <v>839500</v>
      </c>
      <c r="Q41" s="13">
        <f>O41/100000</f>
        <v>7.3</v>
      </c>
      <c r="R41" s="10"/>
    </row>
    <row r="42" spans="1:18" x14ac:dyDescent="0.25">
      <c r="B42" s="28" t="s">
        <v>58</v>
      </c>
      <c r="C42" s="10" t="str">
        <f>'Payment Schedule'!G45</f>
        <v>OK</v>
      </c>
      <c r="J42" s="10" t="str">
        <f>'Work Volume'!D30</f>
        <v>WP4</v>
      </c>
      <c r="K42" s="10" t="str">
        <f>'Work Volume'!B30</f>
        <v>11(i)</v>
      </c>
      <c r="L42" s="11" t="str">
        <f>'Work Volume'!C30</f>
        <v>Tank Calibration – Tank Lorry</v>
      </c>
      <c r="M42" s="10" t="str">
        <f>'Work Volume'!K30</f>
        <v>N</v>
      </c>
      <c r="N42" s="12">
        <f>'Work Volume'!N30</f>
        <v>24.5</v>
      </c>
      <c r="O42" s="4">
        <f>ROUND('Work Volume'!P30,Inputs!$B$14)</f>
        <v>1490000</v>
      </c>
      <c r="P42" s="4">
        <f>O42*(1+Inputs!$B$8)</f>
        <v>1713500</v>
      </c>
      <c r="Q42" s="13">
        <f>O42/100000</f>
        <v>14.9</v>
      </c>
      <c r="R42" s="10"/>
    </row>
    <row r="43" spans="1:18" x14ac:dyDescent="0.25">
      <c r="B43" s="28" t="s">
        <v>59</v>
      </c>
      <c r="C43" s="10" t="str">
        <f>'Payment Schedule'!G46</f>
        <v>OK</v>
      </c>
      <c r="J43" s="10" t="str">
        <f>'Work Volume'!D31</f>
        <v>WP4</v>
      </c>
      <c r="K43" s="10" t="str">
        <f>'Work Volume'!B31</f>
        <v>11(ii)</v>
      </c>
      <c r="L43" s="11" t="str">
        <f>'Work Volume'!C31</f>
        <v>Tank Calibration – Road-Tanker</v>
      </c>
      <c r="M43" s="10" t="str">
        <f>'Work Volume'!K31</f>
        <v>N</v>
      </c>
      <c r="N43" s="12">
        <f>'Work Volume'!N31</f>
        <v>24.5</v>
      </c>
      <c r="O43" s="4">
        <f>ROUND('Work Volume'!P31,Inputs!$B$14)</f>
        <v>1490000</v>
      </c>
      <c r="P43" s="4">
        <f>O43*(1+Inputs!$B$8)</f>
        <v>1713500</v>
      </c>
      <c r="Q43" s="13">
        <f>O43/100000</f>
        <v>14.9</v>
      </c>
      <c r="R43" s="10"/>
    </row>
    <row r="44" spans="1:18" x14ac:dyDescent="0.25">
      <c r="B44" s="28" t="s">
        <v>60</v>
      </c>
      <c r="C44" s="10" t="str">
        <f>'Original Offer'!F23</f>
        <v>OK</v>
      </c>
      <c r="J44" s="10" t="str">
        <f>'Work Volume'!D32</f>
        <v>WP4</v>
      </c>
      <c r="K44" s="10" t="str">
        <f>'Work Volume'!B32</f>
        <v>12(i)</v>
      </c>
      <c r="L44" s="11" t="str">
        <f>'Work Volume'!C32</f>
        <v>Metrology License New</v>
      </c>
      <c r="M44" s="10" t="str">
        <f>'Work Volume'!K32</f>
        <v>N</v>
      </c>
      <c r="N44" s="12">
        <f>'Work Volume'!N32</f>
        <v>54</v>
      </c>
      <c r="O44" s="4">
        <f>ROUND('Work Volume'!P32,Inputs!$B$14)</f>
        <v>3285000</v>
      </c>
      <c r="P44" s="4">
        <f>O44*(1+Inputs!$B$8)</f>
        <v>3777750</v>
      </c>
      <c r="Q44" s="13">
        <f>O44/100000</f>
        <v>32.85</v>
      </c>
      <c r="R44" s="10"/>
    </row>
    <row r="45" ht="26.4" customHeight="1" spans="1:18" x14ac:dyDescent="0.25">
      <c r="B45" s="28" t="s">
        <v>61</v>
      </c>
      <c r="C45" s="10" t="str">
        <f>IF(MAX(Packages!U5:U7)&lt;=Inputs!B15,"OK","LATE")</f>
        <v>OK</v>
      </c>
      <c r="J45" s="10" t="str">
        <f>'Work Volume'!D33</f>
        <v>WP4</v>
      </c>
      <c r="K45" s="10" t="str">
        <f>'Work Volume'!B33</f>
        <v>12(ii)</v>
      </c>
      <c r="L45" s="11" t="str">
        <f>'Work Volume'!C33</f>
        <v>Metrology License Renewal</v>
      </c>
      <c r="M45" s="10" t="str">
        <f>'Work Volume'!K33</f>
        <v>V</v>
      </c>
      <c r="N45" s="12">
        <f>'Work Volume'!N33</f>
        <v>27</v>
      </c>
      <c r="O45" s="4">
        <f>ROUND('Work Volume'!P33,Inputs!$B$14)</f>
        <v>1642000</v>
      </c>
      <c r="P45" s="4">
        <f>O45*(1+Inputs!$B$8)</f>
        <v>1888300</v>
      </c>
      <c r="Q45" s="13">
        <f>O45/100000</f>
        <v>16.42</v>
      </c>
      <c r="R45" s="10"/>
    </row>
    <row r="46" spans="1:18" x14ac:dyDescent="0.25">
      <c r="B46" s="28" t="s">
        <v>62</v>
      </c>
      <c r="C46" s="10" t="str">
        <f>IF(AND(Packages!F17="OK",MAX(Gantt!C12:AO12)&lt;=1),"OK","OVERLAP")</f>
        <v>OK</v>
      </c>
      <c r="J46" s="10" t="str">
        <f>'Work Volume'!D34</f>
        <v>WP4</v>
      </c>
      <c r="K46" s="10" t="str">
        <f>'Work Volume'!B34</f>
        <v>13(i)</v>
      </c>
      <c r="L46" s="11" t="str">
        <f>'Work Volume'!C34</f>
        <v>Storage Tank Calibration – Underground</v>
      </c>
      <c r="M46" s="10" t="str">
        <f>'Work Volume'!K34</f>
        <v>N</v>
      </c>
      <c r="N46" s="12">
        <f>'Work Volume'!N34</f>
        <v>11.6</v>
      </c>
      <c r="O46" s="4">
        <f>ROUND('Work Volume'!P34,Inputs!$B$14)</f>
        <v>706000</v>
      </c>
      <c r="P46" s="4">
        <f>O46*(1+Inputs!$B$8)</f>
        <v>811900</v>
      </c>
      <c r="Q46" s="13">
        <f>O46/100000</f>
        <v>7.06</v>
      </c>
      <c r="R46" s="10"/>
    </row>
    <row r="47" spans="1:18" x14ac:dyDescent="0.25">
      <c r="B47" s="28" t="s">
        <v>63</v>
      </c>
      <c r="C47" s="10" t="str">
        <f>IF(AND(COUNTIF(R13:R68,"MOVED")=0,R69="OK"),"OK","ERROR")</f>
        <v>OK</v>
      </c>
      <c r="J47" s="10" t="str">
        <f>'Work Volume'!D35</f>
        <v>WP4</v>
      </c>
      <c r="K47" s="10" t="str">
        <f>'Work Volume'!B35</f>
        <v>13(ii)</v>
      </c>
      <c r="L47" s="11" t="str">
        <f>'Work Volume'!C35</f>
        <v>Storage Tank Calibration – Overhead</v>
      </c>
      <c r="M47" s="10" t="str">
        <f>'Work Volume'!K35</f>
        <v>N</v>
      </c>
      <c r="N47" s="12">
        <f>'Work Volume'!N35</f>
        <v>11.6</v>
      </c>
      <c r="O47" s="4">
        <f>ROUND('Work Volume'!P35,Inputs!$B$14)</f>
        <v>706000</v>
      </c>
      <c r="P47" s="4">
        <f>O47*(1+Inputs!$B$8)</f>
        <v>811900</v>
      </c>
      <c r="Q47" s="13">
        <f>O47/100000</f>
        <v>7.06</v>
      </c>
      <c r="R47" s="10"/>
    </row>
    <row r="48" spans="1:18" x14ac:dyDescent="0.25">
      <c r="J48" s="10" t="str">
        <f>'Work Volume'!D36</f>
        <v>WP4</v>
      </c>
      <c r="K48" s="10" t="str">
        <f>'Work Volume'!B36</f>
        <v>13(iii)</v>
      </c>
      <c r="L48" s="11" t="str">
        <f>'Work Volume'!C36</f>
        <v>Storage Tank Calibration – Oil-Tanker</v>
      </c>
      <c r="M48" s="10" t="str">
        <f>'Work Volume'!K36</f>
        <v>N</v>
      </c>
      <c r="N48" s="12">
        <f>'Work Volume'!N36</f>
        <v>11.6</v>
      </c>
      <c r="O48" s="4">
        <f>ROUND('Work Volume'!P36,Inputs!$B$14)</f>
        <v>706000</v>
      </c>
      <c r="P48" s="4">
        <f>O48*(1+Inputs!$B$8)</f>
        <v>811900</v>
      </c>
      <c r="Q48" s="13">
        <f>O48/100000</f>
        <v>7.06</v>
      </c>
      <c r="R48" s="10"/>
    </row>
    <row r="49" spans="1:18" x14ac:dyDescent="0.25">
      <c r="J49" s="10" t="str">
        <f>'Work Volume'!D37</f>
        <v>WP4</v>
      </c>
      <c r="K49" s="10" t="str">
        <f>'Work Volume'!B37</f>
        <v>13(iv)</v>
      </c>
      <c r="L49" s="11" t="str">
        <f>'Work Volume'!C37</f>
        <v>Storage Tank Calibration – Barge</v>
      </c>
      <c r="M49" s="10" t="str">
        <f>'Work Volume'!K37</f>
        <v>N</v>
      </c>
      <c r="N49" s="12">
        <f>'Work Volume'!N37</f>
        <v>11.6</v>
      </c>
      <c r="O49" s="4">
        <f>ROUND('Work Volume'!P37,Inputs!$B$14)</f>
        <v>706000</v>
      </c>
      <c r="P49" s="4">
        <f>O49*(1+Inputs!$B$8)</f>
        <v>811900</v>
      </c>
      <c r="Q49" s="13">
        <f>O49/100000</f>
        <v>7.06</v>
      </c>
      <c r="R49" s="10"/>
    </row>
    <row r="50" spans="1:18" x14ac:dyDescent="0.25">
      <c r="J50" s="10" t="str">
        <f>'Work Volume'!D38</f>
        <v>WP4</v>
      </c>
      <c r="K50" s="10" t="str">
        <f>'Work Volume'!B38</f>
        <v>13(v)</v>
      </c>
      <c r="L50" s="11" t="str">
        <f>'Work Volume'!C38</f>
        <v>Storage Tank Calibration – Lighter</v>
      </c>
      <c r="M50" s="10" t="str">
        <f>'Work Volume'!K38</f>
        <v>N</v>
      </c>
      <c r="N50" s="12">
        <f>'Work Volume'!N38</f>
        <v>11.6</v>
      </c>
      <c r="O50" s="4">
        <f>Packages!$F$8-SUM(O35:O49)</f>
        <v>703000</v>
      </c>
      <c r="P50" s="4">
        <f>O50*(1+Inputs!$B$8)</f>
        <v>808450</v>
      </c>
      <c r="Q50" s="13">
        <f>O50/100000</f>
        <v>7.03</v>
      </c>
      <c r="R50" s="10"/>
    </row>
    <row r="51" spans="1:18" x14ac:dyDescent="0.25">
      <c r="J51" s="18" t="s">
        <v>64</v>
      </c>
      <c r="K51" s="15"/>
      <c r="L51" s="15" t="s">
        <v>65</v>
      </c>
      <c r="M51" s="15"/>
      <c r="N51" s="19">
        <f>SUM(N35:N50)</f>
        <v>285</v>
      </c>
      <c r="O51" s="16">
        <f>SUM(O35:O50)</f>
        <v>17336000</v>
      </c>
      <c r="P51" s="16">
        <f>SUM(P35:P50)</f>
        <v>19936400</v>
      </c>
      <c r="Q51" s="20">
        <f>SUM(Q35:Q50)</f>
        <v>173.36</v>
      </c>
      <c r="R51" s="18" t="str">
        <f>IF(AND(COUNTIF(J35:J50,"WP4")=16,ABS(O51-Packages!F8)&lt;1),"OK","MOVED")</f>
        <v>OK</v>
      </c>
    </row>
    <row r="52" spans="1:18" x14ac:dyDescent="0.25">
      <c r="J52" s="10" t="str">
        <f>'Work Volume'!D39</f>
        <v>WP5</v>
      </c>
      <c r="K52" s="10" t="str">
        <f>'Work Volume'!B39</f>
        <v>14(i)</v>
      </c>
      <c r="L52" s="11" t="str">
        <f>'Work Volume'!C39</f>
        <v>MSC Issue</v>
      </c>
      <c r="M52" s="10" t="str">
        <f>'Work Volume'!K39</f>
        <v>N</v>
      </c>
      <c r="N52" s="12">
        <f>'Work Volume'!N39</f>
        <v>174</v>
      </c>
      <c r="O52" s="4">
        <f>ROUND('Work Volume'!P39,Inputs!$B$14)</f>
        <v>10584000</v>
      </c>
      <c r="P52" s="4">
        <f>O52*(1+Inputs!$B$8)</f>
        <v>12171600</v>
      </c>
      <c r="Q52" s="13">
        <f>O52/100000</f>
        <v>105.84</v>
      </c>
      <c r="R52" s="10"/>
    </row>
    <row r="53" spans="1:18" x14ac:dyDescent="0.25">
      <c r="J53" s="10" t="str">
        <f>'Work Volume'!D40</f>
        <v>WP5</v>
      </c>
      <c r="K53" s="10" t="str">
        <f>'Work Volume'!B40</f>
        <v>14(ii)</v>
      </c>
      <c r="L53" s="11" t="str">
        <f>'Work Volume'!C40</f>
        <v>MSC Renewal</v>
      </c>
      <c r="M53" s="10" t="str">
        <f>'Work Volume'!K40</f>
        <v>V</v>
      </c>
      <c r="N53" s="12">
        <f>'Work Volume'!N40</f>
        <v>68</v>
      </c>
      <c r="O53" s="4">
        <f>ROUND('Work Volume'!P40,Inputs!$B$14)</f>
        <v>4136000</v>
      </c>
      <c r="P53" s="4">
        <f>O53*(1+Inputs!$B$8)</f>
        <v>4756400</v>
      </c>
      <c r="Q53" s="13">
        <f>O53/100000</f>
        <v>41.36</v>
      </c>
      <c r="R53" s="10"/>
    </row>
    <row r="54" spans="1:18" x14ac:dyDescent="0.25">
      <c r="J54" s="10" t="str">
        <f>'Work Volume'!D41</f>
        <v>WP5</v>
      </c>
      <c r="K54" s="10" t="str">
        <f>'Work Volume'!B41</f>
        <v>14(iii)</v>
      </c>
      <c r="L54" s="11" t="str">
        <f>'Work Volume'!C41</f>
        <v>MSC Scope Inclusion</v>
      </c>
      <c r="M54" s="10" t="str">
        <f>'Work Volume'!K41</f>
        <v>V</v>
      </c>
      <c r="N54" s="12">
        <f>'Work Volume'!N41</f>
        <v>25</v>
      </c>
      <c r="O54" s="4">
        <f>Packages!$F$9-SUM(O52:O53)</f>
        <v>1521000</v>
      </c>
      <c r="P54" s="4">
        <f>O54*(1+Inputs!$B$8)</f>
        <v>1749150</v>
      </c>
      <c r="Q54" s="13">
        <f>O54/100000</f>
        <v>15.21</v>
      </c>
      <c r="R54" s="10"/>
    </row>
    <row r="55" spans="1:18" x14ac:dyDescent="0.25">
      <c r="J55" s="18" t="s">
        <v>66</v>
      </c>
      <c r="K55" s="15"/>
      <c r="L55" s="15" t="s">
        <v>67</v>
      </c>
      <c r="M55" s="15"/>
      <c r="N55" s="19">
        <f>SUM(N52:N54)</f>
        <v>267</v>
      </c>
      <c r="O55" s="16">
        <f>SUM(O52:O54)</f>
        <v>16241000</v>
      </c>
      <c r="P55" s="16">
        <f>SUM(P52:P54)</f>
        <v>18677150</v>
      </c>
      <c r="Q55" s="20">
        <f>SUM(Q52:Q54)</f>
        <v>162.41</v>
      </c>
      <c r="R55" s="18" t="str">
        <f>IF(AND(COUNTIF(J52:J54,"WP5")=3,ABS(O55-Packages!F9)&lt;1),"OK","MOVED")</f>
        <v>OK</v>
      </c>
    </row>
    <row r="56" spans="1:18" x14ac:dyDescent="0.25">
      <c r="J56" s="10" t="str">
        <f>'Work Volume'!D42</f>
        <v>WP6</v>
      </c>
      <c r="K56" s="10" t="str">
        <f>'Work Volume'!B42</f>
        <v>15(i)</v>
      </c>
      <c r="L56" s="11" t="str">
        <f>'Work Volume'!C42</f>
        <v>Halal Certificate New</v>
      </c>
      <c r="M56" s="10" t="str">
        <f>'Work Volume'!K42</f>
        <v>N</v>
      </c>
      <c r="N56" s="12">
        <f>'Work Volume'!N42</f>
        <v>86</v>
      </c>
      <c r="O56" s="4">
        <f>ROUND('Work Volume'!P42,Inputs!$B$14)</f>
        <v>5231000</v>
      </c>
      <c r="P56" s="4">
        <f>O56*(1+Inputs!$B$8)</f>
        <v>6015650</v>
      </c>
      <c r="Q56" s="13">
        <f>O56/100000</f>
        <v>52.31</v>
      </c>
      <c r="R56" s="10"/>
    </row>
    <row r="57" spans="1:18" x14ac:dyDescent="0.25">
      <c r="J57" s="10" t="str">
        <f>'Work Volume'!D43</f>
        <v>WP6</v>
      </c>
      <c r="K57" s="10" t="str">
        <f>'Work Volume'!B43</f>
        <v>15(ii)</v>
      </c>
      <c r="L57" s="11" t="str">
        <f>'Work Volume'!C43</f>
        <v>Halal Recertification</v>
      </c>
      <c r="M57" s="10" t="str">
        <f>'Work Volume'!K43</f>
        <v>V</v>
      </c>
      <c r="N57" s="12">
        <f>'Work Volume'!N43</f>
        <v>43</v>
      </c>
      <c r="O57" s="4">
        <f>ROUND('Work Volume'!P43,Inputs!$B$14)</f>
        <v>2616000</v>
      </c>
      <c r="P57" s="4">
        <f>O57*(1+Inputs!$B$8)</f>
        <v>3008400</v>
      </c>
      <c r="Q57" s="13">
        <f>O57/100000</f>
        <v>26.16</v>
      </c>
      <c r="R57" s="10"/>
    </row>
    <row r="58" spans="1:18" x14ac:dyDescent="0.25">
      <c r="J58" s="10" t="str">
        <f>'Work Volume'!D44</f>
        <v>WP6</v>
      </c>
      <c r="K58" s="10" t="str">
        <f>'Work Volume'!B44</f>
        <v>15(iii)</v>
      </c>
      <c r="L58" s="11" t="str">
        <f>'Work Volume'!C44</f>
        <v>Halal Brand Inclusion</v>
      </c>
      <c r="M58" s="10" t="str">
        <f>'Work Volume'!K44</f>
        <v>V</v>
      </c>
      <c r="N58" s="12">
        <f>'Work Volume'!N44</f>
        <v>43</v>
      </c>
      <c r="O58" s="4">
        <f>ROUND('Work Volume'!P44,Inputs!$B$14)</f>
        <v>2616000</v>
      </c>
      <c r="P58" s="4">
        <f>O58*(1+Inputs!$B$8)</f>
        <v>3008400</v>
      </c>
      <c r="Q58" s="13">
        <f>O58/100000</f>
        <v>26.16</v>
      </c>
      <c r="R58" s="10"/>
    </row>
    <row r="59" spans="1:18" x14ac:dyDescent="0.25">
      <c r="J59" s="10" t="str">
        <f>'Work Volume'!D45</f>
        <v>WP6</v>
      </c>
      <c r="K59" s="10" t="str">
        <f>'Work Volume'!B45</f>
        <v>16(i)</v>
      </c>
      <c r="L59" s="11" t="str">
        <f>'Work Volume'!C45</f>
        <v>LPG Bottling Plant / LPG Filling / Fuel Filling Station – New Registration</v>
      </c>
      <c r="M59" s="10" t="str">
        <f>'Work Volume'!K45</f>
        <v>N</v>
      </c>
      <c r="N59" s="12">
        <f>'Work Volume'!N45</f>
        <v>53</v>
      </c>
      <c r="O59" s="4">
        <f>ROUND('Work Volume'!P45,Inputs!$B$14)</f>
        <v>3224000</v>
      </c>
      <c r="P59" s="4">
        <f>O59*(1+Inputs!$B$8)</f>
        <v>3707600</v>
      </c>
      <c r="Q59" s="13">
        <f>O59/100000</f>
        <v>32.24</v>
      </c>
      <c r="R59" s="10"/>
    </row>
    <row r="60" spans="1:18" x14ac:dyDescent="0.25">
      <c r="J60" s="10" t="str">
        <f>'Work Volume'!D46</f>
        <v>WP6</v>
      </c>
      <c r="K60" s="10" t="str">
        <f>'Work Volume'!B46</f>
        <v>16(ii)</v>
      </c>
      <c r="L60" s="11" t="str">
        <f>'Work Volume'!C46</f>
        <v>LPG Bottling Plant / LPG Filling / Fuel Filling Station – Renewal</v>
      </c>
      <c r="M60" s="10" t="str">
        <f>'Work Volume'!K46</f>
        <v>V</v>
      </c>
      <c r="N60" s="12">
        <f>'Work Volume'!N46</f>
        <v>26.5</v>
      </c>
      <c r="O60" s="4">
        <f>ROUND('Work Volume'!P46,Inputs!$B$14)</f>
        <v>1612000</v>
      </c>
      <c r="P60" s="4">
        <f>O60*(1+Inputs!$B$8)</f>
        <v>1853800</v>
      </c>
      <c r="Q60" s="13">
        <f>O60/100000</f>
        <v>16.12</v>
      </c>
      <c r="R60" s="10"/>
    </row>
    <row r="61" spans="1:18" x14ac:dyDescent="0.25">
      <c r="J61" s="10" t="str">
        <f>'Work Volume'!D47</f>
        <v>WP6</v>
      </c>
      <c r="K61" s="10">
        <f>'Work Volume'!B47</f>
        <v>17</v>
      </c>
      <c r="L61" s="11" t="str">
        <f>'Work Volume'!C47</f>
        <v>Case Management</v>
      </c>
      <c r="M61" s="10" t="str">
        <f>'Work Volume'!K47</f>
        <v>N</v>
      </c>
      <c r="N61" s="12">
        <f>'Work Volume'!N47</f>
        <v>34</v>
      </c>
      <c r="O61" s="4">
        <f>Packages!$F$10-SUM(O56:O60)</f>
        <v>2068000</v>
      </c>
      <c r="P61" s="4">
        <f>O61*(1+Inputs!$B$8)</f>
        <v>2378200</v>
      </c>
      <c r="Q61" s="13">
        <f>O61/100000</f>
        <v>20.68</v>
      </c>
      <c r="R61" s="10"/>
    </row>
    <row r="62" spans="1:18" x14ac:dyDescent="0.25">
      <c r="J62" s="18" t="s">
        <v>68</v>
      </c>
      <c r="K62" s="15"/>
      <c r="L62" s="15" t="s">
        <v>69</v>
      </c>
      <c r="M62" s="15"/>
      <c r="N62" s="19">
        <f>SUM(N56:N61)</f>
        <v>285.5</v>
      </c>
      <c r="O62" s="16">
        <f>SUM(O56:O61)</f>
        <v>17367000</v>
      </c>
      <c r="P62" s="16">
        <f>SUM(P56:P61)</f>
        <v>19972050</v>
      </c>
      <c r="Q62" s="20">
        <f>SUM(Q56:Q61)</f>
        <v>173.67</v>
      </c>
      <c r="R62" s="18" t="str">
        <f>IF(AND(COUNTIF(J56:J61,"WP6")=6,ABS(O62-Packages!F10)&lt;1),"OK","MOVED")</f>
        <v>OK</v>
      </c>
    </row>
    <row r="63" spans="1:18" x14ac:dyDescent="0.25">
      <c r="J63" s="10" t="str">
        <f>'Work Volume'!D48</f>
        <v>WP7</v>
      </c>
      <c r="K63" s="10">
        <f>'Work Volume'!B48</f>
        <v>18</v>
      </c>
      <c r="L63" s="11" t="str">
        <f>'Work Volume'!C48</f>
        <v>I&amp;S Metrology Calibration (NML)</v>
      </c>
      <c r="M63" s="10" t="str">
        <f>'Work Volume'!K48</f>
        <v>N</v>
      </c>
      <c r="N63" s="12">
        <f>'Work Volume'!N48</f>
        <v>59</v>
      </c>
      <c r="O63" s="4">
        <f>ROUND('Work Volume'!P48,Inputs!$B$14)</f>
        <v>3589000</v>
      </c>
      <c r="P63" s="4">
        <f>O63*(1+Inputs!$B$8)</f>
        <v>4127350</v>
      </c>
      <c r="Q63" s="13">
        <f>O63/100000</f>
        <v>35.89</v>
      </c>
      <c r="R63" s="10"/>
    </row>
    <row r="64" spans="1:18" x14ac:dyDescent="0.25">
      <c r="J64" s="10" t="str">
        <f>'Work Volume'!D49</f>
        <v>WP7</v>
      </c>
      <c r="K64" s="10">
        <f>'Work Volume'!B49</f>
        <v>19</v>
      </c>
      <c r="L64" s="11" t="str">
        <f>'Work Volume'!C49</f>
        <v>Building (flat) / Establishment Measurement</v>
      </c>
      <c r="M64" s="10" t="str">
        <f>'Work Volume'!K49</f>
        <v>N</v>
      </c>
      <c r="N64" s="12">
        <f>'Work Volume'!N49</f>
        <v>53</v>
      </c>
      <c r="O64" s="4">
        <f>ROUND('Work Volume'!P49,Inputs!$B$14)</f>
        <v>3224000</v>
      </c>
      <c r="P64" s="4">
        <f>O64*(1+Inputs!$B$8)</f>
        <v>3707600</v>
      </c>
      <c r="Q64" s="13">
        <f>O64/100000</f>
        <v>32.24</v>
      </c>
      <c r="R64" s="10"/>
    </row>
    <row r="65" spans="1:18" x14ac:dyDescent="0.25">
      <c r="J65" s="10" t="str">
        <f>'Work Volume'!D50</f>
        <v>WP7</v>
      </c>
      <c r="K65" s="10">
        <f>'Work Volume'!B50</f>
        <v>20</v>
      </c>
      <c r="L65" s="11" t="str">
        <f>'Work Volume'!C50</f>
        <v>API integration with BSW (Bangladesh Single Window)</v>
      </c>
      <c r="M65" s="10" t="str">
        <f>'Work Volume'!K50</f>
        <v>N</v>
      </c>
      <c r="N65" s="12">
        <f>'Work Volume'!N50</f>
        <v>30</v>
      </c>
      <c r="O65" s="4">
        <f>ROUND('Work Volume'!P50,Inputs!$B$14)</f>
        <v>1825000</v>
      </c>
      <c r="P65" s="4">
        <f>O65*(1+Inputs!$B$8)</f>
        <v>2098750</v>
      </c>
      <c r="Q65" s="13">
        <f>O65/100000</f>
        <v>18.25</v>
      </c>
      <c r="R65" s="10"/>
    </row>
    <row r="66" spans="1:18" x14ac:dyDescent="0.25">
      <c r="J66" s="10" t="str">
        <f>'Work Volume'!D51</f>
        <v>WP7</v>
      </c>
      <c r="K66" s="10" t="str">
        <f>'Work Volume'!B51</f>
        <v>Footnote*</v>
      </c>
      <c r="L66" s="11" t="str">
        <f>'Work Volume'!C51</f>
        <v>Registered Importer/Exporter Certificate Management</v>
      </c>
      <c r="M66" s="10" t="str">
        <f>'Work Volume'!K51</f>
        <v>N</v>
      </c>
      <c r="N66" s="12">
        <f>'Work Volume'!N51</f>
        <v>53</v>
      </c>
      <c r="O66" s="4">
        <f>ROUND('Work Volume'!P51,Inputs!$B$14)</f>
        <v>3224000</v>
      </c>
      <c r="P66" s="4">
        <f>O66*(1+Inputs!$B$8)</f>
        <v>3707600</v>
      </c>
      <c r="Q66" s="13">
        <f>O66/100000</f>
        <v>32.24</v>
      </c>
      <c r="R66" s="10"/>
    </row>
    <row r="67" spans="1:18" x14ac:dyDescent="0.25">
      <c r="J67" s="10" t="str">
        <f>'Work Volume'!D52</f>
        <v>WP7</v>
      </c>
      <c r="K67" s="10" t="str">
        <f>'Work Volume'!B52</f>
        <v>Footnote*</v>
      </c>
      <c r="L67" s="11" t="str">
        <f>'Work Volume'!C52</f>
        <v>Registered Importer/Exporter Certificate Management – Renewal</v>
      </c>
      <c r="M67" s="10" t="str">
        <f>'Work Volume'!K52</f>
        <v>V</v>
      </c>
      <c r="N67" s="12">
        <f>'Work Volume'!N52</f>
        <v>27.5</v>
      </c>
      <c r="O67" s="4">
        <f>Packages!$F$11-SUM(O63:O66)</f>
        <v>1673000</v>
      </c>
      <c r="P67" s="4">
        <f>O67*(1+Inputs!$B$8)</f>
        <v>1923950</v>
      </c>
      <c r="Q67" s="13">
        <f>O67/100000</f>
        <v>16.73</v>
      </c>
      <c r="R67" s="10"/>
    </row>
    <row r="68" spans="1:18" x14ac:dyDescent="0.25">
      <c r="J68" s="18" t="s">
        <v>70</v>
      </c>
      <c r="K68" s="15"/>
      <c r="L68" s="15" t="s">
        <v>71</v>
      </c>
      <c r="M68" s="15"/>
      <c r="N68" s="19">
        <f>SUM(N63:N67)</f>
        <v>222.5</v>
      </c>
      <c r="O68" s="16">
        <f>SUM(O63:O67)</f>
        <v>13535000</v>
      </c>
      <c r="P68" s="16">
        <f>SUM(P63:P67)</f>
        <v>15565250</v>
      </c>
      <c r="Q68" s="20">
        <f>SUM(Q63:Q67)</f>
        <v>135.35</v>
      </c>
      <c r="R68" s="18" t="str">
        <f>IF(AND(COUNTIF(J63:J67,"WP7")=5,ABS(O68-Packages!F11)&lt;1),"OK","MOVED")</f>
        <v>OK</v>
      </c>
    </row>
    <row r="69" spans="1:18" x14ac:dyDescent="0.25">
      <c r="J69" s="18"/>
      <c r="K69" s="15"/>
      <c r="L69" s="15" t="s">
        <v>30</v>
      </c>
      <c r="M69" s="15"/>
      <c r="N69" s="19">
        <f>N22+N27+N34+N51+N55+N62+N68</f>
        <v>1809</v>
      </c>
      <c r="O69" s="16">
        <f>O22+O27+O34+O51+O55+O62+O68</f>
        <v>111665000</v>
      </c>
      <c r="P69" s="16">
        <f>P22+P27+P34+P51+P55+P62+P68</f>
        <v>128414750</v>
      </c>
      <c r="Q69" s="20">
        <f>Q22+Q27+Q34+Q51+Q55+Q62+Q68</f>
        <v>1116.65</v>
      </c>
      <c r="R69" s="18" t="str">
        <f>IF(ABS(O69-Inputs!B4)&lt;1,"OK","ERROR")</f>
        <v>OK</v>
      </c>
    </row>
    <row r="70" spans="1:10" x14ac:dyDescent="0.25">
      <c r="J70" s="29" t="s">
        <v>72</v>
      </c>
    </row>
  </sheetData>
  <mergeCells count="2">
    <mergeCell ref="A2:H2"/>
    <mergeCell ref="A25:H25"/>
  </mergeCells>
  <conditionalFormatting sqref="C37:C47">
    <cfRule type="cellIs" dxfId="0" priority="3" operator="equal">
      <formula>"OK"</formula>
    </cfRule>
    <cfRule type="cellIs" dxfId="1" priority="4" operator="notEqual">
      <formula>"OK"</formula>
    </cfRule>
  </conditionalFormatting>
  <conditionalFormatting sqref="F13:F19">
    <cfRule type="cellIs" dxfId="2" priority="1" operator="equal">
      <formula>"EXCEEDS"</formula>
    </cfRule>
    <cfRule type="cellIs" dxfId="3" priority="2" operator="equal">
      <formula>"OK"</formula>
    </cfRule>
  </conditionalFormatting>
  <conditionalFormatting sqref="R13:R69">
    <cfRule type="cellIs" dxfId="4" priority="5" operator="equal">
      <formula>"OK"</formula>
    </cfRule>
    <cfRule type="cellIs" dxfId="5" priority="6" operator="notEqual">
      <formula>"OK"</formula>
    </cfRule>
  </conditionalFormatting>
  <pageMargins left="0.75" right="0.75" top="1" bottom="1" header="0.5" footer="0.5"/>
  <pageSetup orientation="landscape" horizontalDpi="4294967295" verticalDpi="4294967295" scale="100" fitToWidth="1" fitToHeight="0"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27"/>
  <sheetViews>
    <sheetView workbookViewId="0" showGridLines="0" zoomScale="100" zoomScaleNormal="100"/>
  </sheetViews>
  <sheetFormatPr defaultRowHeight="14.4" outlineLevelRow="0" outlineLevelCol="0" x14ac:dyDescent="0.3" customHeight="1"/>
  <cols>
    <col min="1" max="1" width="52" customWidth="1"/>
    <col min="2" max="2" width="18" customWidth="1"/>
    <col min="3" max="3" width="70" customWidth="1"/>
  </cols>
  <sheetData>
    <row r="1" ht="17.4" customHeight="1" spans="1:1" x14ac:dyDescent="0.25">
      <c r="A1" s="1" t="s">
        <v>73</v>
      </c>
    </row>
    <row r="2" spans="1:1" x14ac:dyDescent="0.25">
      <c r="A2" s="30" t="s">
        <v>74</v>
      </c>
    </row>
    <row r="4" ht="26.4" customHeight="1" spans="1:3" x14ac:dyDescent="0.25">
      <c r="A4" s="28" t="s">
        <v>75</v>
      </c>
      <c r="B4" s="31">
        <v>111665000</v>
      </c>
      <c r="C4" s="32" t="s">
        <v>76</v>
      </c>
    </row>
    <row r="5" ht="34.2" customHeight="1" spans="1:3" x14ac:dyDescent="0.25">
      <c r="A5" s="28" t="s">
        <v>77</v>
      </c>
      <c r="B5" s="31">
        <v>1625000</v>
      </c>
      <c r="C5" s="32" t="s">
        <v>78</v>
      </c>
    </row>
    <row r="6" spans="1:3" x14ac:dyDescent="0.25">
      <c r="A6" s="28" t="s">
        <v>79</v>
      </c>
      <c r="B6" s="24">
        <f>B4-B5</f>
        <v>110040000</v>
      </c>
      <c r="C6" s="32" t="s">
        <v>80</v>
      </c>
    </row>
    <row r="7" spans="1:3" x14ac:dyDescent="0.25">
      <c r="A7" s="28" t="s">
        <v>81</v>
      </c>
      <c r="B7" s="31">
        <v>20000000</v>
      </c>
      <c r="C7" s="32" t="s">
        <v>82</v>
      </c>
    </row>
    <row r="8" ht="22.8" customHeight="1" spans="1:3" x14ac:dyDescent="0.25">
      <c r="A8" s="28" t="s">
        <v>83</v>
      </c>
      <c r="B8" s="33">
        <v>0.15</v>
      </c>
      <c r="C8" s="32" t="s">
        <v>84</v>
      </c>
    </row>
    <row r="9" spans="1:3" x14ac:dyDescent="0.25">
      <c r="A9" s="28" t="s">
        <v>85</v>
      </c>
      <c r="B9" s="34" t="s">
        <v>86</v>
      </c>
      <c r="C9" s="32" t="s">
        <v>87</v>
      </c>
    </row>
    <row r="10" spans="1:3" x14ac:dyDescent="0.25">
      <c r="A10" s="28" t="s">
        <v>88</v>
      </c>
      <c r="B10" s="31">
        <v>75240000</v>
      </c>
      <c r="C10" s="32" t="s">
        <v>89</v>
      </c>
    </row>
    <row r="11" spans="1:3" x14ac:dyDescent="0.25">
      <c r="A11" s="28" t="s">
        <v>90</v>
      </c>
      <c r="B11" s="35">
        <v>24</v>
      </c>
      <c r="C11" s="32" t="s">
        <v>91</v>
      </c>
    </row>
    <row r="12" ht="22.8" customHeight="1" spans="1:3" x14ac:dyDescent="0.25">
      <c r="A12" s="28" t="s">
        <v>92</v>
      </c>
      <c r="B12" s="36">
        <v>3</v>
      </c>
      <c r="C12" s="32" t="s">
        <v>93</v>
      </c>
    </row>
    <row r="13" spans="1:3" x14ac:dyDescent="0.25">
      <c r="A13" s="28" t="s">
        <v>94</v>
      </c>
      <c r="B13" s="37">
        <v>47484</v>
      </c>
      <c r="C13" s="32" t="s">
        <v>95</v>
      </c>
    </row>
    <row r="14" spans="1:3" x14ac:dyDescent="0.25">
      <c r="A14" s="28" t="s">
        <v>96</v>
      </c>
      <c r="B14" s="35">
        <v>-3</v>
      </c>
      <c r="C14" s="32" t="s">
        <v>97</v>
      </c>
    </row>
    <row r="15" ht="22.8" customHeight="1" spans="1:3" x14ac:dyDescent="0.25">
      <c r="A15" s="28" t="s">
        <v>98</v>
      </c>
      <c r="B15" s="37">
        <v>46752</v>
      </c>
      <c r="C15" s="32" t="s">
        <v>99</v>
      </c>
    </row>
    <row r="16" spans="1:3" x14ac:dyDescent="0.25">
      <c r="A16" s="38" t="s">
        <v>100</v>
      </c>
      <c r="B16" s="38" t="s">
        <v>101</v>
      </c>
      <c r="C16" s="38" t="s">
        <v>102</v>
      </c>
    </row>
    <row r="17" spans="1:3" x14ac:dyDescent="0.25">
      <c r="A17" s="23" t="s">
        <v>103</v>
      </c>
      <c r="B17" s="39">
        <v>1</v>
      </c>
      <c r="C17" s="32" t="s">
        <v>104</v>
      </c>
    </row>
    <row r="18" ht="34.2" customHeight="1" spans="1:3" x14ac:dyDescent="0.25">
      <c r="A18" s="23" t="s">
        <v>105</v>
      </c>
      <c r="B18" s="39">
        <v>0.5</v>
      </c>
      <c r="C18" s="32" t="s">
        <v>106</v>
      </c>
    </row>
    <row r="19" ht="22.8" customHeight="1" spans="1:3" x14ac:dyDescent="0.25">
      <c r="A19" s="23" t="s">
        <v>107</v>
      </c>
      <c r="B19" s="39">
        <v>0.5</v>
      </c>
      <c r="C19" s="32" t="s">
        <v>108</v>
      </c>
    </row>
    <row r="20" spans="1:3" x14ac:dyDescent="0.25">
      <c r="C20" s="30" t="s">
        <v>109</v>
      </c>
    </row>
    <row r="22" spans="1:3" x14ac:dyDescent="0.25">
      <c r="A22" s="38" t="s">
        <v>110</v>
      </c>
      <c r="B22" s="38" t="s">
        <v>111</v>
      </c>
      <c r="C22" s="38" t="s">
        <v>112</v>
      </c>
    </row>
    <row r="23" ht="22.8" customHeight="1" spans="1:3" x14ac:dyDescent="0.25">
      <c r="A23" s="28" t="s">
        <v>113</v>
      </c>
      <c r="B23" s="33">
        <v>0.2</v>
      </c>
      <c r="C23" s="32" t="s">
        <v>114</v>
      </c>
    </row>
    <row r="24" spans="1:3" x14ac:dyDescent="0.25">
      <c r="A24" s="28" t="s">
        <v>115</v>
      </c>
      <c r="B24" s="33">
        <v>0.3</v>
      </c>
      <c r="C24" s="32" t="s">
        <v>116</v>
      </c>
    </row>
    <row r="25" ht="22.8" customHeight="1" spans="1:3" x14ac:dyDescent="0.25">
      <c r="A25" s="28" t="s">
        <v>117</v>
      </c>
      <c r="B25" s="33">
        <v>0.4</v>
      </c>
      <c r="C25" s="32" t="s">
        <v>118</v>
      </c>
    </row>
    <row r="26" ht="22.8" customHeight="1" spans="1:3" x14ac:dyDescent="0.25">
      <c r="A26" s="28" t="s">
        <v>119</v>
      </c>
      <c r="B26" s="33">
        <v>0.1</v>
      </c>
      <c r="C26" s="32" t="s">
        <v>120</v>
      </c>
    </row>
    <row r="27" spans="1:2" x14ac:dyDescent="0.25">
      <c r="A27" s="3" t="s">
        <v>121</v>
      </c>
      <c r="B27" s="3" t="str">
        <f>IF(ROUND(SUM(B23:B26),4)=1,"OK","ERROR")</f>
        <v>OK</v>
      </c>
    </row>
  </sheetData>
  <pageMargins left="0.75" right="0.75" top="1" bottom="1" header="0.5" footer="0.5"/>
  <pageSetup orientation="landscape"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55"/>
  <sheetViews>
    <sheetView workbookViewId="0" showGridLines="0" zoomScale="100" zoomScaleNormal="100">
      <pane xSplit="3" ySplit="4" topLeftCell="D5" activePane="bottomRight" state="frozen"/>
      <selection pane="bottomRight"/>
    </sheetView>
  </sheetViews>
  <sheetFormatPr defaultRowHeight="14.4" outlineLevelRow="0" outlineLevelCol="0" x14ac:dyDescent="0.3" customHeight="1"/>
  <cols>
    <col min="1" max="1" width="8" customWidth="1"/>
    <col min="3" max="3" width="44" customWidth="1"/>
    <col min="6" max="6" width="34" customWidth="1"/>
    <col min="8" max="8" width="12" customWidth="1"/>
    <col min="9" max="9" width="10" customWidth="1"/>
    <col min="10" max="10" width="40" customWidth="1"/>
    <col min="12" max="12" width="8" customWidth="1"/>
    <col min="14" max="14" width="10" customWidth="1"/>
    <col min="16" max="16" width="15" customWidth="1"/>
    <col min="17" max="17" width="11" customWidth="1"/>
  </cols>
  <sheetData>
    <row r="1" ht="17.4" customHeight="1" spans="1:1" x14ac:dyDescent="0.25">
      <c r="A1" s="1" t="s">
        <v>122</v>
      </c>
    </row>
    <row r="2" ht="28.05" customHeight="1" spans="1:17" x14ac:dyDescent="0.25">
      <c r="A2" s="2" t="s">
        <v>123</v>
      </c>
      <c r="B2"/>
      <c r="C2"/>
      <c r="D2"/>
      <c r="E2"/>
      <c r="F2"/>
      <c r="G2"/>
      <c r="H2"/>
      <c r="I2"/>
      <c r="J2"/>
      <c r="K2"/>
      <c r="L2"/>
      <c r="M2"/>
      <c r="N2"/>
      <c r="O2"/>
      <c r="P2"/>
      <c r="Q2"/>
    </row>
    <row r="4" ht="42" customHeight="1" spans="1:17" x14ac:dyDescent="0.25">
      <c r="A4" s="9" t="s">
        <v>124</v>
      </c>
      <c r="B4" s="9" t="s">
        <v>125</v>
      </c>
      <c r="C4" s="9" t="s">
        <v>126</v>
      </c>
      <c r="D4" s="9" t="s">
        <v>10</v>
      </c>
      <c r="E4" s="9" t="s">
        <v>127</v>
      </c>
      <c r="F4" s="9" t="s">
        <v>128</v>
      </c>
      <c r="G4" s="9" t="s">
        <v>129</v>
      </c>
      <c r="H4" s="9" t="s">
        <v>130</v>
      </c>
      <c r="I4" s="9" t="s">
        <v>131</v>
      </c>
      <c r="J4" s="9" t="s">
        <v>132</v>
      </c>
      <c r="K4" s="9" t="s">
        <v>133</v>
      </c>
      <c r="L4" s="9" t="s">
        <v>101</v>
      </c>
      <c r="M4" s="9" t="s">
        <v>134</v>
      </c>
      <c r="N4" s="9" t="s">
        <v>21</v>
      </c>
      <c r="O4" s="9" t="s">
        <v>135</v>
      </c>
      <c r="P4" s="9" t="s">
        <v>136</v>
      </c>
      <c r="Q4" s="9" t="s">
        <v>137</v>
      </c>
    </row>
    <row r="5" ht="52.8" customHeight="1" spans="1:17" x14ac:dyDescent="0.25">
      <c r="A5" s="40">
        <v>1</v>
      </c>
      <c r="B5" s="40" t="s">
        <v>138</v>
      </c>
      <c r="C5" s="28" t="s">
        <v>139</v>
      </c>
      <c r="D5" s="23" t="s">
        <v>26</v>
      </c>
      <c r="E5" s="40" t="s">
        <v>27</v>
      </c>
      <c r="F5" s="28" t="s">
        <v>140</v>
      </c>
      <c r="G5" s="35"/>
      <c r="H5" s="35"/>
      <c r="I5" s="41">
        <v>60</v>
      </c>
      <c r="J5" s="42" t="s">
        <v>141</v>
      </c>
      <c r="K5" s="23" t="s">
        <v>103</v>
      </c>
      <c r="L5" s="43">
        <f>INDEX(Inputs!$B$17:$B$19,MATCH(K5,Inputs!$A$17:$A$19,0))</f>
        <v>1</v>
      </c>
      <c r="M5" s="23" t="s">
        <v>86</v>
      </c>
      <c r="N5" s="44">
        <f>IF(M5="Y",I5*L5,0)</f>
        <v>60</v>
      </c>
      <c r="O5" s="45">
        <f>IF($N$53=0,0,N5/$N$53)</f>
        <v>0.033167495854063</v>
      </c>
      <c r="P5" s="4">
        <f>O5*Inputs!$B$6</f>
        <v>3649751.2437811</v>
      </c>
      <c r="Q5" s="25">
        <f>P5/100000</f>
        <v>36.497512437811</v>
      </c>
    </row>
    <row r="6" spans="1:17" x14ac:dyDescent="0.25">
      <c r="A6" s="40">
        <v>1</v>
      </c>
      <c r="B6" s="40" t="s">
        <v>142</v>
      </c>
      <c r="C6" s="28" t="s">
        <v>143</v>
      </c>
      <c r="D6" s="23" t="s">
        <v>26</v>
      </c>
      <c r="E6" s="40" t="s">
        <v>144</v>
      </c>
      <c r="F6" s="28" t="s">
        <v>145</v>
      </c>
      <c r="G6" s="35">
        <v>11</v>
      </c>
      <c r="H6" s="35">
        <v>49</v>
      </c>
      <c r="I6" s="44">
        <f>H6</f>
        <v>49</v>
      </c>
      <c r="J6" s="32" t="s">
        <v>146</v>
      </c>
      <c r="K6" s="23" t="s">
        <v>107</v>
      </c>
      <c r="L6" s="43">
        <f>INDEX(Inputs!$B$17:$B$19,MATCH(K6,Inputs!$A$17:$A$19,0))</f>
        <v>0.5</v>
      </c>
      <c r="M6" s="23" t="s">
        <v>86</v>
      </c>
      <c r="N6" s="44">
        <f>IF(M6="Y",I6*L6,0)</f>
        <v>24.5</v>
      </c>
      <c r="O6" s="45">
        <f>IF($N$53=0,0,N6/$N$53)</f>
        <v>0.0135433941404091</v>
      </c>
      <c r="P6" s="4">
        <f>O6*Inputs!$B$6</f>
        <v>1490315.09121061</v>
      </c>
      <c r="Q6" s="25">
        <f>P6/100000</f>
        <v>14.9031509121061</v>
      </c>
    </row>
    <row r="7" spans="1:17" x14ac:dyDescent="0.25">
      <c r="A7" s="40">
        <v>1</v>
      </c>
      <c r="B7" s="40" t="s">
        <v>147</v>
      </c>
      <c r="C7" s="28" t="s">
        <v>148</v>
      </c>
      <c r="D7" s="23" t="s">
        <v>26</v>
      </c>
      <c r="E7" s="40" t="s">
        <v>149</v>
      </c>
      <c r="F7" s="28" t="s">
        <v>150</v>
      </c>
      <c r="G7" s="35">
        <v>15</v>
      </c>
      <c r="H7" s="35">
        <v>84</v>
      </c>
      <c r="I7" s="44">
        <f>H7</f>
        <v>84</v>
      </c>
      <c r="J7" s="32" t="s">
        <v>151</v>
      </c>
      <c r="K7" s="23" t="s">
        <v>107</v>
      </c>
      <c r="L7" s="43">
        <f>INDEX(Inputs!$B$17:$B$19,MATCH(K7,Inputs!$A$17:$A$19,0))</f>
        <v>0.5</v>
      </c>
      <c r="M7" s="23" t="s">
        <v>86</v>
      </c>
      <c r="N7" s="44">
        <f>IF(M7="Y",I7*L7,0)</f>
        <v>42</v>
      </c>
      <c r="O7" s="45">
        <f>IF($N$53=0,0,N7/$N$53)</f>
        <v>0.0232172470978441</v>
      </c>
      <c r="P7" s="4">
        <f>O7*Inputs!$B$6</f>
        <v>2554825.87064677</v>
      </c>
      <c r="Q7" s="25">
        <f>P7/100000</f>
        <v>25.5482587064677</v>
      </c>
    </row>
    <row r="8" ht="26.4" customHeight="1" spans="1:17" x14ac:dyDescent="0.25">
      <c r="A8" s="40">
        <v>1</v>
      </c>
      <c r="B8" s="40" t="s">
        <v>152</v>
      </c>
      <c r="C8" s="28" t="s">
        <v>153</v>
      </c>
      <c r="D8" s="23" t="s">
        <v>26</v>
      </c>
      <c r="E8" s="40" t="s">
        <v>154</v>
      </c>
      <c r="F8" s="28" t="s">
        <v>155</v>
      </c>
      <c r="G8" s="35"/>
      <c r="H8" s="35"/>
      <c r="I8" s="41">
        <v>40</v>
      </c>
      <c r="J8" s="42" t="s">
        <v>156</v>
      </c>
      <c r="K8" s="23" t="s">
        <v>107</v>
      </c>
      <c r="L8" s="43">
        <f>INDEX(Inputs!$B$17:$B$19,MATCH(K8,Inputs!$A$17:$A$19,0))</f>
        <v>0.5</v>
      </c>
      <c r="M8" s="23" t="s">
        <v>86</v>
      </c>
      <c r="N8" s="44">
        <f>IF(M8="Y",I8*L8,0)</f>
        <v>20</v>
      </c>
      <c r="O8" s="45">
        <f>IF($N$53=0,0,N8/$N$53)</f>
        <v>0.0110558319513543</v>
      </c>
      <c r="P8" s="4">
        <f>O8*Inputs!$B$6</f>
        <v>1216583.74792703</v>
      </c>
      <c r="Q8" s="25">
        <f>P8/100000</f>
        <v>12.1658374792703</v>
      </c>
    </row>
    <row r="9" spans="1:17" x14ac:dyDescent="0.25">
      <c r="A9" s="40">
        <v>2</v>
      </c>
      <c r="B9" s="40" t="s">
        <v>157</v>
      </c>
      <c r="C9" s="28" t="s">
        <v>158</v>
      </c>
      <c r="D9" s="23" t="s">
        <v>41</v>
      </c>
      <c r="E9" s="40" t="s">
        <v>159</v>
      </c>
      <c r="F9" s="28" t="s">
        <v>160</v>
      </c>
      <c r="G9" s="35">
        <v>10</v>
      </c>
      <c r="H9" s="35">
        <v>57</v>
      </c>
      <c r="I9" s="44">
        <f>H9</f>
        <v>57</v>
      </c>
      <c r="J9" s="32" t="s">
        <v>161</v>
      </c>
      <c r="K9" s="23" t="s">
        <v>103</v>
      </c>
      <c r="L9" s="43">
        <f>INDEX(Inputs!$B$17:$B$19,MATCH(K9,Inputs!$A$17:$A$19,0))</f>
        <v>1</v>
      </c>
      <c r="M9" s="23" t="s">
        <v>86</v>
      </c>
      <c r="N9" s="44">
        <f>IF(M9="Y",I9*L9,0)</f>
        <v>57</v>
      </c>
      <c r="O9" s="45">
        <f>IF($N$53=0,0,N9/$N$53)</f>
        <v>0.0315091210613599</v>
      </c>
      <c r="P9" s="4">
        <f>O9*Inputs!$B$6</f>
        <v>3467263.68159204</v>
      </c>
      <c r="Q9" s="25">
        <f>P9/100000</f>
        <v>34.6726368159204</v>
      </c>
    </row>
    <row r="10" spans="1:17" x14ac:dyDescent="0.25">
      <c r="A10" s="40">
        <v>3</v>
      </c>
      <c r="B10" s="40" t="s">
        <v>162</v>
      </c>
      <c r="C10" s="28" t="s">
        <v>163</v>
      </c>
      <c r="D10" s="23" t="s">
        <v>26</v>
      </c>
      <c r="E10" s="40" t="s">
        <v>164</v>
      </c>
      <c r="F10" s="28" t="s">
        <v>165</v>
      </c>
      <c r="G10" s="35">
        <v>12</v>
      </c>
      <c r="H10" s="35">
        <v>46</v>
      </c>
      <c r="I10" s="44">
        <f>H10</f>
        <v>46</v>
      </c>
      <c r="J10" s="32" t="s">
        <v>166</v>
      </c>
      <c r="K10" s="23" t="s">
        <v>107</v>
      </c>
      <c r="L10" s="43">
        <f>INDEX(Inputs!$B$17:$B$19,MATCH(K10,Inputs!$A$17:$A$19,0))</f>
        <v>0.5</v>
      </c>
      <c r="M10" s="23" t="s">
        <v>86</v>
      </c>
      <c r="N10" s="44">
        <f>IF(M10="Y",I10*L10,0)</f>
        <v>23</v>
      </c>
      <c r="O10" s="45">
        <f>IF($N$53=0,0,N10/$N$53)</f>
        <v>0.0127142067440575</v>
      </c>
      <c r="P10" s="4">
        <f>O10*Inputs!$B$6</f>
        <v>1399071.31011609</v>
      </c>
      <c r="Q10" s="25">
        <f>P10/100000</f>
        <v>13.9907131011609</v>
      </c>
    </row>
    <row r="11" spans="1:17" x14ac:dyDescent="0.25">
      <c r="A11" s="40">
        <v>3</v>
      </c>
      <c r="B11" s="40" t="s">
        <v>167</v>
      </c>
      <c r="C11" s="28" t="s">
        <v>168</v>
      </c>
      <c r="D11" s="23" t="s">
        <v>50</v>
      </c>
      <c r="E11" s="40" t="s">
        <v>169</v>
      </c>
      <c r="F11" s="28" t="s">
        <v>170</v>
      </c>
      <c r="G11" s="35">
        <v>12</v>
      </c>
      <c r="H11" s="35">
        <v>46</v>
      </c>
      <c r="I11" s="44">
        <f>H11</f>
        <v>46</v>
      </c>
      <c r="J11" s="32" t="s">
        <v>171</v>
      </c>
      <c r="K11" s="23" t="s">
        <v>105</v>
      </c>
      <c r="L11" s="43">
        <f>INDEX(Inputs!$B$17:$B$19,MATCH(K11,Inputs!$A$17:$A$19,0))</f>
        <v>0.5</v>
      </c>
      <c r="M11" s="23" t="s">
        <v>86</v>
      </c>
      <c r="N11" s="44">
        <f>IF(M11="Y",I11*L11,0)</f>
        <v>23</v>
      </c>
      <c r="O11" s="45">
        <f>IF($N$53=0,0,N11/$N$53)</f>
        <v>0.0127142067440575</v>
      </c>
      <c r="P11" s="4">
        <f>O11*Inputs!$B$6</f>
        <v>1399071.31011609</v>
      </c>
      <c r="Q11" s="25">
        <f>P11/100000</f>
        <v>13.9907131011609</v>
      </c>
    </row>
    <row r="12" spans="1:17" x14ac:dyDescent="0.25">
      <c r="A12" s="40">
        <v>3</v>
      </c>
      <c r="B12" s="40" t="s">
        <v>172</v>
      </c>
      <c r="C12" s="28" t="s">
        <v>173</v>
      </c>
      <c r="D12" s="23" t="s">
        <v>50</v>
      </c>
      <c r="E12" s="40" t="s">
        <v>174</v>
      </c>
      <c r="F12" s="28" t="s">
        <v>175</v>
      </c>
      <c r="G12" s="35">
        <v>12</v>
      </c>
      <c r="H12" s="35">
        <v>46</v>
      </c>
      <c r="I12" s="44">
        <f>H12</f>
        <v>46</v>
      </c>
      <c r="J12" s="32" t="s">
        <v>176</v>
      </c>
      <c r="K12" s="23" t="s">
        <v>105</v>
      </c>
      <c r="L12" s="43">
        <f>INDEX(Inputs!$B$17:$B$19,MATCH(K12,Inputs!$A$17:$A$19,0))</f>
        <v>0.5</v>
      </c>
      <c r="M12" s="23" t="s">
        <v>86</v>
      </c>
      <c r="N12" s="44">
        <f>IF(M12="Y",I12*L12,0)</f>
        <v>23</v>
      </c>
      <c r="O12" s="45">
        <f>IF($N$53=0,0,N12/$N$53)</f>
        <v>0.0127142067440575</v>
      </c>
      <c r="P12" s="4">
        <f>O12*Inputs!$B$6</f>
        <v>1399071.31011609</v>
      </c>
      <c r="Q12" s="25">
        <f>P12/100000</f>
        <v>13.9907131011609</v>
      </c>
    </row>
    <row r="13" spans="1:17" x14ac:dyDescent="0.25">
      <c r="A13" s="40">
        <v>3</v>
      </c>
      <c r="B13" s="40" t="s">
        <v>177</v>
      </c>
      <c r="C13" s="28" t="s">
        <v>178</v>
      </c>
      <c r="D13" s="23" t="s">
        <v>50</v>
      </c>
      <c r="E13" s="40" t="s">
        <v>179</v>
      </c>
      <c r="F13" s="28" t="s">
        <v>180</v>
      </c>
      <c r="G13" s="35">
        <v>16</v>
      </c>
      <c r="H13" s="35">
        <v>83</v>
      </c>
      <c r="I13" s="44">
        <f>H13</f>
        <v>83</v>
      </c>
      <c r="J13" s="32" t="s">
        <v>181</v>
      </c>
      <c r="K13" s="23" t="s">
        <v>103</v>
      </c>
      <c r="L13" s="43">
        <f>INDEX(Inputs!$B$17:$B$19,MATCH(K13,Inputs!$A$17:$A$19,0))</f>
        <v>1</v>
      </c>
      <c r="M13" s="23" t="s">
        <v>86</v>
      </c>
      <c r="N13" s="44">
        <f>IF(M13="Y",I13*L13,0)</f>
        <v>83</v>
      </c>
      <c r="O13" s="45">
        <f>IF($N$53=0,0,N13/$N$53)</f>
        <v>0.0458817025981205</v>
      </c>
      <c r="P13" s="4">
        <f>O13*Inputs!$B$6</f>
        <v>5048822.55389718</v>
      </c>
      <c r="Q13" s="25">
        <f>P13/100000</f>
        <v>50.4882255389718</v>
      </c>
    </row>
    <row r="14" spans="1:17" x14ac:dyDescent="0.25">
      <c r="A14" s="40">
        <v>3</v>
      </c>
      <c r="B14" s="40" t="s">
        <v>182</v>
      </c>
      <c r="C14" s="28" t="s">
        <v>183</v>
      </c>
      <c r="D14" s="23" t="s">
        <v>50</v>
      </c>
      <c r="E14" s="40" t="s">
        <v>184</v>
      </c>
      <c r="F14" s="28" t="s">
        <v>185</v>
      </c>
      <c r="G14" s="35">
        <v>16</v>
      </c>
      <c r="H14" s="35">
        <v>83</v>
      </c>
      <c r="I14" s="44">
        <f>H14</f>
        <v>83</v>
      </c>
      <c r="J14" s="32" t="s">
        <v>186</v>
      </c>
      <c r="K14" s="23" t="s">
        <v>105</v>
      </c>
      <c r="L14" s="43">
        <f>INDEX(Inputs!$B$17:$B$19,MATCH(K14,Inputs!$A$17:$A$19,0))</f>
        <v>0.5</v>
      </c>
      <c r="M14" s="23" t="s">
        <v>86</v>
      </c>
      <c r="N14" s="44">
        <f>IF(M14="Y",I14*L14,0)</f>
        <v>41.5</v>
      </c>
      <c r="O14" s="45">
        <f>IF($N$53=0,0,N14/$N$53)</f>
        <v>0.0229408512990603</v>
      </c>
      <c r="P14" s="4">
        <f>O14*Inputs!$B$6</f>
        <v>2524411.27694859</v>
      </c>
      <c r="Q14" s="25">
        <f>P14/100000</f>
        <v>25.2441127694859</v>
      </c>
    </row>
    <row r="15" spans="1:17" x14ac:dyDescent="0.25">
      <c r="A15" s="40">
        <v>3</v>
      </c>
      <c r="B15" s="40" t="s">
        <v>187</v>
      </c>
      <c r="C15" s="28" t="s">
        <v>188</v>
      </c>
      <c r="D15" s="23" t="s">
        <v>50</v>
      </c>
      <c r="E15" s="40" t="s">
        <v>189</v>
      </c>
      <c r="F15" s="28" t="s">
        <v>188</v>
      </c>
      <c r="G15" s="35">
        <v>16</v>
      </c>
      <c r="H15" s="35">
        <v>83</v>
      </c>
      <c r="I15" s="44">
        <f>H15</f>
        <v>83</v>
      </c>
      <c r="J15" s="32" t="s">
        <v>190</v>
      </c>
      <c r="K15" s="23" t="s">
        <v>105</v>
      </c>
      <c r="L15" s="43">
        <f>INDEX(Inputs!$B$17:$B$19,MATCH(K15,Inputs!$A$17:$A$19,0))</f>
        <v>0.5</v>
      </c>
      <c r="M15" s="23" t="s">
        <v>86</v>
      </c>
      <c r="N15" s="44">
        <f>IF(M15="Y",I15*L15,0)</f>
        <v>41.5</v>
      </c>
      <c r="O15" s="45">
        <f>IF($N$53=0,0,N15/$N$53)</f>
        <v>0.0229408512990603</v>
      </c>
      <c r="P15" s="4">
        <f>O15*Inputs!$B$6</f>
        <v>2524411.27694859</v>
      </c>
      <c r="Q15" s="25">
        <f>P15/100000</f>
        <v>25.2441127694859</v>
      </c>
    </row>
    <row r="16" ht="39.6" customHeight="1" spans="1:17" x14ac:dyDescent="0.25">
      <c r="A16" s="40">
        <v>3</v>
      </c>
      <c r="B16" s="40" t="s">
        <v>191</v>
      </c>
      <c r="C16" s="28" t="s">
        <v>192</v>
      </c>
      <c r="D16" s="23" t="s">
        <v>50</v>
      </c>
      <c r="E16" s="40" t="s">
        <v>27</v>
      </c>
      <c r="F16" s="28" t="s">
        <v>193</v>
      </c>
      <c r="G16" s="35"/>
      <c r="H16" s="35"/>
      <c r="I16" s="41">
        <v>30</v>
      </c>
      <c r="J16" s="42" t="s">
        <v>194</v>
      </c>
      <c r="K16" s="23" t="s">
        <v>103</v>
      </c>
      <c r="L16" s="43">
        <f>INDEX(Inputs!$B$17:$B$19,MATCH(K16,Inputs!$A$17:$A$19,0))</f>
        <v>1</v>
      </c>
      <c r="M16" s="23" t="s">
        <v>86</v>
      </c>
      <c r="N16" s="44">
        <f>IF(M16="Y",I16*L16,0)</f>
        <v>30</v>
      </c>
      <c r="O16" s="45">
        <f>IF($N$53=0,0,N16/$N$53)</f>
        <v>0.0165837479270315</v>
      </c>
      <c r="P16" s="4">
        <f>O16*Inputs!$B$6</f>
        <v>1824875.62189055</v>
      </c>
      <c r="Q16" s="25">
        <f>P16/100000</f>
        <v>18.2487562189055</v>
      </c>
    </row>
    <row r="17" spans="1:17" x14ac:dyDescent="0.25">
      <c r="A17" s="40">
        <v>4</v>
      </c>
      <c r="B17" s="40" t="s">
        <v>195</v>
      </c>
      <c r="C17" s="28" t="s">
        <v>196</v>
      </c>
      <c r="D17" s="23" t="s">
        <v>41</v>
      </c>
      <c r="E17" s="40" t="s">
        <v>197</v>
      </c>
      <c r="F17" s="28" t="s">
        <v>196</v>
      </c>
      <c r="G17" s="35">
        <v>20</v>
      </c>
      <c r="H17" s="35">
        <v>67</v>
      </c>
      <c r="I17" s="44">
        <f>H17</f>
        <v>67</v>
      </c>
      <c r="J17" s="32" t="s">
        <v>198</v>
      </c>
      <c r="K17" s="23" t="s">
        <v>103</v>
      </c>
      <c r="L17" s="43">
        <f>INDEX(Inputs!$B$17:$B$19,MATCH(K17,Inputs!$A$17:$A$19,0))</f>
        <v>1</v>
      </c>
      <c r="M17" s="23" t="s">
        <v>86</v>
      </c>
      <c r="N17" s="44">
        <f>IF(M17="Y",I17*L17,0)</f>
        <v>67</v>
      </c>
      <c r="O17" s="45">
        <f>IF($N$53=0,0,N17/$N$53)</f>
        <v>0.037037037037037</v>
      </c>
      <c r="P17" s="4">
        <f>O17*Inputs!$B$6</f>
        <v>4075555.55555556</v>
      </c>
      <c r="Q17" s="25">
        <f>P17/100000</f>
        <v>40.7555555555556</v>
      </c>
    </row>
    <row r="18" spans="1:17" x14ac:dyDescent="0.25">
      <c r="A18" s="40">
        <v>5</v>
      </c>
      <c r="B18" s="40" t="s">
        <v>199</v>
      </c>
      <c r="C18" s="28" t="s">
        <v>200</v>
      </c>
      <c r="D18" s="23" t="s">
        <v>41</v>
      </c>
      <c r="E18" s="40" t="s">
        <v>201</v>
      </c>
      <c r="F18" s="28" t="s">
        <v>200</v>
      </c>
      <c r="G18" s="35">
        <v>10</v>
      </c>
      <c r="H18" s="35">
        <v>72</v>
      </c>
      <c r="I18" s="44">
        <f>H18</f>
        <v>72</v>
      </c>
      <c r="J18" s="32" t="s">
        <v>202</v>
      </c>
      <c r="K18" s="23" t="s">
        <v>103</v>
      </c>
      <c r="L18" s="43">
        <f>INDEX(Inputs!$B$17:$B$19,MATCH(K18,Inputs!$A$17:$A$19,0))</f>
        <v>1</v>
      </c>
      <c r="M18" s="23" t="s">
        <v>86</v>
      </c>
      <c r="N18" s="44">
        <f>IF(M18="Y",I18*L18,0)</f>
        <v>72</v>
      </c>
      <c r="O18" s="45">
        <f>IF($N$53=0,0,N18/$N$53)</f>
        <v>0.0398009950248756</v>
      </c>
      <c r="P18" s="4">
        <f>O18*Inputs!$B$6</f>
        <v>4379701.49253731</v>
      </c>
      <c r="Q18" s="25">
        <f>P18/100000</f>
        <v>43.7970149253731</v>
      </c>
    </row>
    <row r="19" spans="1:17" x14ac:dyDescent="0.25">
      <c r="A19" s="40">
        <v>6</v>
      </c>
      <c r="B19" s="40" t="s">
        <v>203</v>
      </c>
      <c r="C19" s="28" t="s">
        <v>204</v>
      </c>
      <c r="D19" s="23" t="s">
        <v>41</v>
      </c>
      <c r="E19" s="40" t="s">
        <v>205</v>
      </c>
      <c r="F19" s="28" t="s">
        <v>206</v>
      </c>
      <c r="G19" s="35">
        <v>12</v>
      </c>
      <c r="H19" s="35">
        <v>71</v>
      </c>
      <c r="I19" s="44">
        <f>H19</f>
        <v>71</v>
      </c>
      <c r="J19" s="32" t="s">
        <v>207</v>
      </c>
      <c r="K19" s="23" t="s">
        <v>103</v>
      </c>
      <c r="L19" s="43">
        <f>INDEX(Inputs!$B$17:$B$19,MATCH(K19,Inputs!$A$17:$A$19,0))</f>
        <v>1</v>
      </c>
      <c r="M19" s="23" t="s">
        <v>86</v>
      </c>
      <c r="N19" s="44">
        <f>IF(M19="Y",I19*L19,0)</f>
        <v>71</v>
      </c>
      <c r="O19" s="45">
        <f>IF($N$53=0,0,N19/$N$53)</f>
        <v>0.0392482034273079</v>
      </c>
      <c r="P19" s="4">
        <f>O19*Inputs!$B$6</f>
        <v>4318872.30514096</v>
      </c>
      <c r="Q19" s="25">
        <f>P19/100000</f>
        <v>43.1887230514096</v>
      </c>
    </row>
    <row r="20" spans="1:17" x14ac:dyDescent="0.25">
      <c r="A20" s="40">
        <v>7</v>
      </c>
      <c r="B20" s="40" t="s">
        <v>208</v>
      </c>
      <c r="C20" s="28" t="s">
        <v>209</v>
      </c>
      <c r="D20" s="23" t="s">
        <v>26</v>
      </c>
      <c r="E20" s="40" t="s">
        <v>210</v>
      </c>
      <c r="F20" s="28" t="s">
        <v>211</v>
      </c>
      <c r="G20" s="35">
        <v>13</v>
      </c>
      <c r="H20" s="35">
        <v>48</v>
      </c>
      <c r="I20" s="44">
        <f>H20</f>
        <v>48</v>
      </c>
      <c r="J20" s="32" t="s">
        <v>212</v>
      </c>
      <c r="K20" s="23" t="s">
        <v>107</v>
      </c>
      <c r="L20" s="43">
        <f>INDEX(Inputs!$B$17:$B$19,MATCH(K20,Inputs!$A$17:$A$19,0))</f>
        <v>0.5</v>
      </c>
      <c r="M20" s="23" t="s">
        <v>86</v>
      </c>
      <c r="N20" s="44">
        <f>IF(M20="Y",I20*L20,0)</f>
        <v>24</v>
      </c>
      <c r="O20" s="45">
        <f>IF($N$53=0,0,N20/$N$53)</f>
        <v>0.0132669983416252</v>
      </c>
      <c r="P20" s="4">
        <f>O20*Inputs!$B$6</f>
        <v>1459900.49751244</v>
      </c>
      <c r="Q20" s="25">
        <f>P20/100000</f>
        <v>14.5990049751244</v>
      </c>
    </row>
    <row r="21" spans="1:17" x14ac:dyDescent="0.25">
      <c r="A21" s="40">
        <v>7</v>
      </c>
      <c r="B21" s="40" t="s">
        <v>213</v>
      </c>
      <c r="C21" s="28" t="s">
        <v>214</v>
      </c>
      <c r="D21" s="23" t="s">
        <v>26</v>
      </c>
      <c r="E21" s="40" t="s">
        <v>215</v>
      </c>
      <c r="F21" s="28" t="s">
        <v>216</v>
      </c>
      <c r="G21" s="35">
        <v>13</v>
      </c>
      <c r="H21" s="35">
        <v>48</v>
      </c>
      <c r="I21" s="44">
        <f>H21</f>
        <v>48</v>
      </c>
      <c r="J21" s="32" t="s">
        <v>217</v>
      </c>
      <c r="K21" s="23" t="s">
        <v>105</v>
      </c>
      <c r="L21" s="43">
        <f>INDEX(Inputs!$B$17:$B$19,MATCH(K21,Inputs!$A$17:$A$19,0))</f>
        <v>0.5</v>
      </c>
      <c r="M21" s="23" t="s">
        <v>86</v>
      </c>
      <c r="N21" s="44">
        <f>IF(M21="Y",I21*L21,0)</f>
        <v>24</v>
      </c>
      <c r="O21" s="45">
        <f>IF($N$53=0,0,N21/$N$53)</f>
        <v>0.0132669983416252</v>
      </c>
      <c r="P21" s="4">
        <f>O21*Inputs!$B$6</f>
        <v>1459900.49751244</v>
      </c>
      <c r="Q21" s="25">
        <f>P21/100000</f>
        <v>14.5990049751244</v>
      </c>
    </row>
    <row r="22" spans="1:17" x14ac:dyDescent="0.25">
      <c r="A22" s="40">
        <v>7</v>
      </c>
      <c r="B22" s="40" t="s">
        <v>218</v>
      </c>
      <c r="C22" s="28" t="s">
        <v>219</v>
      </c>
      <c r="D22" s="23" t="s">
        <v>26</v>
      </c>
      <c r="E22" s="40" t="s">
        <v>220</v>
      </c>
      <c r="F22" s="28" t="s">
        <v>219</v>
      </c>
      <c r="G22" s="35">
        <v>13</v>
      </c>
      <c r="H22" s="35">
        <v>45</v>
      </c>
      <c r="I22" s="44">
        <f>H22</f>
        <v>45</v>
      </c>
      <c r="J22" s="32" t="s">
        <v>221</v>
      </c>
      <c r="K22" s="23" t="s">
        <v>105</v>
      </c>
      <c r="L22" s="43">
        <f>INDEX(Inputs!$B$17:$B$19,MATCH(K22,Inputs!$A$17:$A$19,0))</f>
        <v>0.5</v>
      </c>
      <c r="M22" s="23" t="s">
        <v>86</v>
      </c>
      <c r="N22" s="44">
        <f>IF(M22="Y",I22*L22,0)</f>
        <v>22.5</v>
      </c>
      <c r="O22" s="45">
        <f>IF($N$53=0,0,N22/$N$53)</f>
        <v>0.0124378109452736</v>
      </c>
      <c r="P22" s="4">
        <f>O22*Inputs!$B$6</f>
        <v>1368656.71641791</v>
      </c>
      <c r="Q22" s="25">
        <f>P22/100000</f>
        <v>13.6865671641791</v>
      </c>
    </row>
    <row r="23" ht="22.8" customHeight="1" spans="1:17" x14ac:dyDescent="0.25">
      <c r="A23" s="40">
        <v>8</v>
      </c>
      <c r="B23" s="40" t="s">
        <v>222</v>
      </c>
      <c r="C23" s="28" t="s">
        <v>223</v>
      </c>
      <c r="D23" s="23" t="s">
        <v>64</v>
      </c>
      <c r="E23" s="40" t="s">
        <v>224</v>
      </c>
      <c r="F23" s="28" t="s">
        <v>225</v>
      </c>
      <c r="G23" s="35">
        <v>8</v>
      </c>
      <c r="H23" s="35">
        <v>49</v>
      </c>
      <c r="I23" s="46">
        <v>26</v>
      </c>
      <c r="J23" s="32" t="s">
        <v>226</v>
      </c>
      <c r="K23" s="23" t="s">
        <v>103</v>
      </c>
      <c r="L23" s="43">
        <f>INDEX(Inputs!$B$17:$B$19,MATCH(K23,Inputs!$A$17:$A$19,0))</f>
        <v>1</v>
      </c>
      <c r="M23" s="23" t="s">
        <v>86</v>
      </c>
      <c r="N23" s="44">
        <f>IF(M23="Y",I23*L23,0)</f>
        <v>26</v>
      </c>
      <c r="O23" s="45">
        <f>IF($N$53=0,0,N23/$N$53)</f>
        <v>0.0143725815367606</v>
      </c>
      <c r="P23" s="4">
        <f>O23*Inputs!$B$6</f>
        <v>1581558.87230514</v>
      </c>
      <c r="Q23" s="25">
        <f>P23/100000</f>
        <v>15.8155887230514</v>
      </c>
    </row>
    <row r="24" ht="34.2" customHeight="1" spans="1:17" x14ac:dyDescent="0.25">
      <c r="A24" s="40">
        <v>9</v>
      </c>
      <c r="B24" s="40" t="s">
        <v>227</v>
      </c>
      <c r="C24" s="28" t="s">
        <v>228</v>
      </c>
      <c r="D24" s="23" t="s">
        <v>64</v>
      </c>
      <c r="E24" s="40" t="s">
        <v>224</v>
      </c>
      <c r="F24" s="28" t="s">
        <v>225</v>
      </c>
      <c r="G24" s="35">
        <v>8</v>
      </c>
      <c r="H24" s="35">
        <v>49</v>
      </c>
      <c r="I24" s="46">
        <v>11.5</v>
      </c>
      <c r="J24" s="32" t="s">
        <v>229</v>
      </c>
      <c r="K24" s="23" t="s">
        <v>103</v>
      </c>
      <c r="L24" s="43">
        <f>INDEX(Inputs!$B$17:$B$19,MATCH(K24,Inputs!$A$17:$A$19,0))</f>
        <v>1</v>
      </c>
      <c r="M24" s="23" t="s">
        <v>86</v>
      </c>
      <c r="N24" s="44">
        <f>IF(M24="Y",I24*L24,0)</f>
        <v>11.5</v>
      </c>
      <c r="O24" s="45">
        <f>IF($N$53=0,0,N24/$N$53)</f>
        <v>0.00635710337202875</v>
      </c>
      <c r="P24" s="4">
        <f>O24*Inputs!$B$6</f>
        <v>699535.655058043</v>
      </c>
      <c r="Q24" s="25">
        <f>P24/100000</f>
        <v>6.99535655058043</v>
      </c>
    </row>
    <row r="25" spans="1:17" x14ac:dyDescent="0.25">
      <c r="A25" s="40">
        <v>9</v>
      </c>
      <c r="B25" s="40" t="s">
        <v>230</v>
      </c>
      <c r="C25" s="28" t="s">
        <v>231</v>
      </c>
      <c r="D25" s="23" t="s">
        <v>64</v>
      </c>
      <c r="E25" s="40" t="s">
        <v>224</v>
      </c>
      <c r="F25" s="28" t="s">
        <v>225</v>
      </c>
      <c r="G25" s="35">
        <v>8</v>
      </c>
      <c r="H25" s="35">
        <v>49</v>
      </c>
      <c r="I25" s="46">
        <v>11.5</v>
      </c>
      <c r="J25" s="32" t="s">
        <v>232</v>
      </c>
      <c r="K25" s="23" t="s">
        <v>103</v>
      </c>
      <c r="L25" s="43">
        <f>INDEX(Inputs!$B$17:$B$19,MATCH(K25,Inputs!$A$17:$A$19,0))</f>
        <v>1</v>
      </c>
      <c r="M25" s="23" t="s">
        <v>86</v>
      </c>
      <c r="N25" s="44">
        <f>IF(M25="Y",I25*L25,0)</f>
        <v>11.5</v>
      </c>
      <c r="O25" s="45">
        <f>IF($N$53=0,0,N25/$N$53)</f>
        <v>0.00635710337202875</v>
      </c>
      <c r="P25" s="4">
        <f>O25*Inputs!$B$6</f>
        <v>699535.655058043</v>
      </c>
      <c r="Q25" s="25">
        <f>P25/100000</f>
        <v>6.99535655058043</v>
      </c>
    </row>
    <row r="26" spans="1:17" x14ac:dyDescent="0.25">
      <c r="A26" s="40">
        <v>10</v>
      </c>
      <c r="B26" s="40" t="s">
        <v>233</v>
      </c>
      <c r="C26" s="28" t="s">
        <v>234</v>
      </c>
      <c r="D26" s="23" t="s">
        <v>64</v>
      </c>
      <c r="E26" s="40" t="s">
        <v>235</v>
      </c>
      <c r="F26" s="28" t="s">
        <v>236</v>
      </c>
      <c r="G26" s="35">
        <v>12</v>
      </c>
      <c r="H26" s="35">
        <v>48</v>
      </c>
      <c r="I26" s="44">
        <f>H26/4</f>
        <v>12</v>
      </c>
      <c r="J26" s="32" t="s">
        <v>237</v>
      </c>
      <c r="K26" s="23" t="s">
        <v>103</v>
      </c>
      <c r="L26" s="43">
        <f>INDEX(Inputs!$B$17:$B$19,MATCH(K26,Inputs!$A$17:$A$19,0))</f>
        <v>1</v>
      </c>
      <c r="M26" s="23" t="s">
        <v>86</v>
      </c>
      <c r="N26" s="44">
        <f>IF(M26="Y",I26*L26,0)</f>
        <v>12</v>
      </c>
      <c r="O26" s="45">
        <f>IF($N$53=0,0,N26/$N$53)</f>
        <v>0.0066334991708126</v>
      </c>
      <c r="P26" s="4">
        <f>O26*Inputs!$B$6</f>
        <v>729950.248756219</v>
      </c>
      <c r="Q26" s="25">
        <f>P26/100000</f>
        <v>7.29950248756219</v>
      </c>
    </row>
    <row r="27" spans="1:17" x14ac:dyDescent="0.25">
      <c r="A27" s="40">
        <v>10</v>
      </c>
      <c r="B27" s="40" t="s">
        <v>238</v>
      </c>
      <c r="C27" s="28" t="s">
        <v>239</v>
      </c>
      <c r="D27" s="23" t="s">
        <v>64</v>
      </c>
      <c r="E27" s="40" t="s">
        <v>235</v>
      </c>
      <c r="F27" s="28" t="s">
        <v>236</v>
      </c>
      <c r="G27" s="35">
        <v>12</v>
      </c>
      <c r="H27" s="35">
        <v>48</v>
      </c>
      <c r="I27" s="44">
        <f>H27/4</f>
        <v>12</v>
      </c>
      <c r="J27" s="32" t="s">
        <v>232</v>
      </c>
      <c r="K27" s="23" t="s">
        <v>103</v>
      </c>
      <c r="L27" s="43">
        <f>INDEX(Inputs!$B$17:$B$19,MATCH(K27,Inputs!$A$17:$A$19,0))</f>
        <v>1</v>
      </c>
      <c r="M27" s="23" t="s">
        <v>86</v>
      </c>
      <c r="N27" s="44">
        <f>IF(M27="Y",I27*L27,0)</f>
        <v>12</v>
      </c>
      <c r="O27" s="45">
        <f>IF($N$53=0,0,N27/$N$53)</f>
        <v>0.0066334991708126</v>
      </c>
      <c r="P27" s="4">
        <f>O27*Inputs!$B$6</f>
        <v>729950.248756219</v>
      </c>
      <c r="Q27" s="25">
        <f>P27/100000</f>
        <v>7.29950248756219</v>
      </c>
    </row>
    <row r="28" spans="1:17" x14ac:dyDescent="0.25">
      <c r="A28" s="40">
        <v>10</v>
      </c>
      <c r="B28" s="40" t="s">
        <v>240</v>
      </c>
      <c r="C28" s="28" t="s">
        <v>241</v>
      </c>
      <c r="D28" s="23" t="s">
        <v>64</v>
      </c>
      <c r="E28" s="40" t="s">
        <v>235</v>
      </c>
      <c r="F28" s="28" t="s">
        <v>236</v>
      </c>
      <c r="G28" s="35">
        <v>12</v>
      </c>
      <c r="H28" s="35">
        <v>48</v>
      </c>
      <c r="I28" s="44">
        <f>H28/4</f>
        <v>12</v>
      </c>
      <c r="J28" s="32" t="s">
        <v>232</v>
      </c>
      <c r="K28" s="23" t="s">
        <v>103</v>
      </c>
      <c r="L28" s="43">
        <f>INDEX(Inputs!$B$17:$B$19,MATCH(K28,Inputs!$A$17:$A$19,0))</f>
        <v>1</v>
      </c>
      <c r="M28" s="23" t="s">
        <v>86</v>
      </c>
      <c r="N28" s="44">
        <f>IF(M28="Y",I28*L28,0)</f>
        <v>12</v>
      </c>
      <c r="O28" s="45">
        <f>IF($N$53=0,0,N28/$N$53)</f>
        <v>0.0066334991708126</v>
      </c>
      <c r="P28" s="4">
        <f>O28*Inputs!$B$6</f>
        <v>729950.248756219</v>
      </c>
      <c r="Q28" s="25">
        <f>P28/100000</f>
        <v>7.29950248756219</v>
      </c>
    </row>
    <row r="29" spans="1:17" x14ac:dyDescent="0.25">
      <c r="A29" s="40">
        <v>10</v>
      </c>
      <c r="B29" s="40" t="s">
        <v>242</v>
      </c>
      <c r="C29" s="28" t="s">
        <v>243</v>
      </c>
      <c r="D29" s="23" t="s">
        <v>64</v>
      </c>
      <c r="E29" s="40" t="s">
        <v>235</v>
      </c>
      <c r="F29" s="28" t="s">
        <v>236</v>
      </c>
      <c r="G29" s="35">
        <v>12</v>
      </c>
      <c r="H29" s="35">
        <v>48</v>
      </c>
      <c r="I29" s="44">
        <f>H29/4</f>
        <v>12</v>
      </c>
      <c r="J29" s="32" t="s">
        <v>232</v>
      </c>
      <c r="K29" s="23" t="s">
        <v>103</v>
      </c>
      <c r="L29" s="43">
        <f>INDEX(Inputs!$B$17:$B$19,MATCH(K29,Inputs!$A$17:$A$19,0))</f>
        <v>1</v>
      </c>
      <c r="M29" s="23" t="s">
        <v>86</v>
      </c>
      <c r="N29" s="44">
        <f>IF(M29="Y",I29*L29,0)</f>
        <v>12</v>
      </c>
      <c r="O29" s="45">
        <f>IF($N$53=0,0,N29/$N$53)</f>
        <v>0.0066334991708126</v>
      </c>
      <c r="P29" s="4">
        <f>O29*Inputs!$B$6</f>
        <v>729950.248756219</v>
      </c>
      <c r="Q29" s="25">
        <f>P29/100000</f>
        <v>7.29950248756219</v>
      </c>
    </row>
    <row r="30" spans="1:17" x14ac:dyDescent="0.25">
      <c r="A30" s="40">
        <v>11</v>
      </c>
      <c r="B30" s="40" t="s">
        <v>244</v>
      </c>
      <c r="C30" s="28" t="s">
        <v>245</v>
      </c>
      <c r="D30" s="23" t="s">
        <v>64</v>
      </c>
      <c r="E30" s="40" t="s">
        <v>246</v>
      </c>
      <c r="F30" s="28" t="s">
        <v>247</v>
      </c>
      <c r="G30" s="35">
        <v>12</v>
      </c>
      <c r="H30" s="35">
        <v>49</v>
      </c>
      <c r="I30" s="44">
        <f>H30/2</f>
        <v>24.5</v>
      </c>
      <c r="J30" s="32" t="s">
        <v>248</v>
      </c>
      <c r="K30" s="23" t="s">
        <v>103</v>
      </c>
      <c r="L30" s="43">
        <f>INDEX(Inputs!$B$17:$B$19,MATCH(K30,Inputs!$A$17:$A$19,0))</f>
        <v>1</v>
      </c>
      <c r="M30" s="23" t="s">
        <v>86</v>
      </c>
      <c r="N30" s="44">
        <f>IF(M30="Y",I30*L30,0)</f>
        <v>24.5</v>
      </c>
      <c r="O30" s="45">
        <f>IF($N$53=0,0,N30/$N$53)</f>
        <v>0.0135433941404091</v>
      </c>
      <c r="P30" s="4">
        <f>O30*Inputs!$B$6</f>
        <v>1490315.09121061</v>
      </c>
      <c r="Q30" s="25">
        <f>P30/100000</f>
        <v>14.9031509121061</v>
      </c>
    </row>
    <row r="31" spans="1:17" x14ac:dyDescent="0.25">
      <c r="A31" s="40">
        <v>11</v>
      </c>
      <c r="B31" s="40" t="s">
        <v>249</v>
      </c>
      <c r="C31" s="28" t="s">
        <v>250</v>
      </c>
      <c r="D31" s="23" t="s">
        <v>64</v>
      </c>
      <c r="E31" s="40" t="s">
        <v>246</v>
      </c>
      <c r="F31" s="28" t="s">
        <v>247</v>
      </c>
      <c r="G31" s="35">
        <v>12</v>
      </c>
      <c r="H31" s="35">
        <v>49</v>
      </c>
      <c r="I31" s="44">
        <f>H31/2</f>
        <v>24.5</v>
      </c>
      <c r="J31" s="32" t="s">
        <v>232</v>
      </c>
      <c r="K31" s="23" t="s">
        <v>103</v>
      </c>
      <c r="L31" s="43">
        <f>INDEX(Inputs!$B$17:$B$19,MATCH(K31,Inputs!$A$17:$A$19,0))</f>
        <v>1</v>
      </c>
      <c r="M31" s="23" t="s">
        <v>86</v>
      </c>
      <c r="N31" s="44">
        <f>IF(M31="Y",I31*L31,0)</f>
        <v>24.5</v>
      </c>
      <c r="O31" s="45">
        <f>IF($N$53=0,0,N31/$N$53)</f>
        <v>0.0135433941404091</v>
      </c>
      <c r="P31" s="4">
        <f>O31*Inputs!$B$6</f>
        <v>1490315.09121061</v>
      </c>
      <c r="Q31" s="25">
        <f>P31/100000</f>
        <v>14.9031509121061</v>
      </c>
    </row>
    <row r="32" spans="1:17" x14ac:dyDescent="0.25">
      <c r="A32" s="40">
        <v>12</v>
      </c>
      <c r="B32" s="40" t="s">
        <v>251</v>
      </c>
      <c r="C32" s="28" t="s">
        <v>252</v>
      </c>
      <c r="D32" s="23" t="s">
        <v>64</v>
      </c>
      <c r="E32" s="40" t="s">
        <v>253</v>
      </c>
      <c r="F32" s="28" t="s">
        <v>254</v>
      </c>
      <c r="G32" s="35">
        <v>13</v>
      </c>
      <c r="H32" s="35">
        <v>54</v>
      </c>
      <c r="I32" s="44">
        <f>H32</f>
        <v>54</v>
      </c>
      <c r="J32" s="32" t="s">
        <v>255</v>
      </c>
      <c r="K32" s="23" t="s">
        <v>103</v>
      </c>
      <c r="L32" s="43">
        <f>INDEX(Inputs!$B$17:$B$19,MATCH(K32,Inputs!$A$17:$A$19,0))</f>
        <v>1</v>
      </c>
      <c r="M32" s="23" t="s">
        <v>86</v>
      </c>
      <c r="N32" s="44">
        <f>IF(M32="Y",I32*L32,0)</f>
        <v>54</v>
      </c>
      <c r="O32" s="45">
        <f>IF($N$53=0,0,N32/$N$53)</f>
        <v>0.0298507462686567</v>
      </c>
      <c r="P32" s="4">
        <f>O32*Inputs!$B$6</f>
        <v>3284776.11940299</v>
      </c>
      <c r="Q32" s="25">
        <f>P32/100000</f>
        <v>32.8477611940299</v>
      </c>
    </row>
    <row r="33" spans="1:17" x14ac:dyDescent="0.25">
      <c r="A33" s="40">
        <v>12</v>
      </c>
      <c r="B33" s="40" t="s">
        <v>256</v>
      </c>
      <c r="C33" s="28" t="s">
        <v>257</v>
      </c>
      <c r="D33" s="23" t="s">
        <v>64</v>
      </c>
      <c r="E33" s="40" t="s">
        <v>258</v>
      </c>
      <c r="F33" s="28" t="s">
        <v>257</v>
      </c>
      <c r="G33" s="35">
        <v>13</v>
      </c>
      <c r="H33" s="35">
        <v>54</v>
      </c>
      <c r="I33" s="44">
        <f>H33</f>
        <v>54</v>
      </c>
      <c r="J33" s="32" t="s">
        <v>259</v>
      </c>
      <c r="K33" s="23" t="s">
        <v>105</v>
      </c>
      <c r="L33" s="43">
        <f>INDEX(Inputs!$B$17:$B$19,MATCH(K33,Inputs!$A$17:$A$19,0))</f>
        <v>0.5</v>
      </c>
      <c r="M33" s="23" t="s">
        <v>86</v>
      </c>
      <c r="N33" s="44">
        <f>IF(M33="Y",I33*L33,0)</f>
        <v>27</v>
      </c>
      <c r="O33" s="45">
        <f>IF($N$53=0,0,N33/$N$53)</f>
        <v>0.0149253731343284</v>
      </c>
      <c r="P33" s="4">
        <f>O33*Inputs!$B$6</f>
        <v>1642388.05970149</v>
      </c>
      <c r="Q33" s="25">
        <f>P33/100000</f>
        <v>16.4238805970149</v>
      </c>
    </row>
    <row r="34" spans="1:17" x14ac:dyDescent="0.25">
      <c r="A34" s="40">
        <v>13</v>
      </c>
      <c r="B34" s="40" t="s">
        <v>260</v>
      </c>
      <c r="C34" s="28" t="s">
        <v>261</v>
      </c>
      <c r="D34" s="23" t="s">
        <v>64</v>
      </c>
      <c r="E34" s="40" t="s">
        <v>262</v>
      </c>
      <c r="F34" s="28" t="s">
        <v>263</v>
      </c>
      <c r="G34" s="35">
        <v>13</v>
      </c>
      <c r="H34" s="35">
        <v>58</v>
      </c>
      <c r="I34" s="44">
        <f>H34/5</f>
        <v>11.6</v>
      </c>
      <c r="J34" s="32" t="s">
        <v>264</v>
      </c>
      <c r="K34" s="23" t="s">
        <v>103</v>
      </c>
      <c r="L34" s="43">
        <f>INDEX(Inputs!$B$17:$B$19,MATCH(K34,Inputs!$A$17:$A$19,0))</f>
        <v>1</v>
      </c>
      <c r="M34" s="23" t="s">
        <v>86</v>
      </c>
      <c r="N34" s="44">
        <f>IF(M34="Y",I34*L34,0)</f>
        <v>11.6</v>
      </c>
      <c r="O34" s="45">
        <f>IF($N$53=0,0,N34/$N$53)</f>
        <v>0.00641238253178552</v>
      </c>
      <c r="P34" s="4">
        <f>O34*Inputs!$B$6</f>
        <v>705618.573797678</v>
      </c>
      <c r="Q34" s="25">
        <f>P34/100000</f>
        <v>7.05618573797678</v>
      </c>
    </row>
    <row r="35" spans="1:17" x14ac:dyDescent="0.25">
      <c r="A35" s="40">
        <v>13</v>
      </c>
      <c r="B35" s="40" t="s">
        <v>265</v>
      </c>
      <c r="C35" s="28" t="s">
        <v>266</v>
      </c>
      <c r="D35" s="23" t="s">
        <v>64</v>
      </c>
      <c r="E35" s="40" t="s">
        <v>262</v>
      </c>
      <c r="F35" s="28" t="s">
        <v>263</v>
      </c>
      <c r="G35" s="35">
        <v>13</v>
      </c>
      <c r="H35" s="35">
        <v>58</v>
      </c>
      <c r="I35" s="44">
        <f>H35/5</f>
        <v>11.6</v>
      </c>
      <c r="J35" s="32" t="s">
        <v>232</v>
      </c>
      <c r="K35" s="23" t="s">
        <v>103</v>
      </c>
      <c r="L35" s="43">
        <f>INDEX(Inputs!$B$17:$B$19,MATCH(K35,Inputs!$A$17:$A$19,0))</f>
        <v>1</v>
      </c>
      <c r="M35" s="23" t="s">
        <v>86</v>
      </c>
      <c r="N35" s="44">
        <f>IF(M35="Y",I35*L35,0)</f>
        <v>11.6</v>
      </c>
      <c r="O35" s="45">
        <f>IF($N$53=0,0,N35/$N$53)</f>
        <v>0.00641238253178552</v>
      </c>
      <c r="P35" s="4">
        <f>O35*Inputs!$B$6</f>
        <v>705618.573797678</v>
      </c>
      <c r="Q35" s="25">
        <f>P35/100000</f>
        <v>7.05618573797678</v>
      </c>
    </row>
    <row r="36" spans="1:17" x14ac:dyDescent="0.25">
      <c r="A36" s="40">
        <v>13</v>
      </c>
      <c r="B36" s="40" t="s">
        <v>267</v>
      </c>
      <c r="C36" s="28" t="s">
        <v>268</v>
      </c>
      <c r="D36" s="23" t="s">
        <v>64</v>
      </c>
      <c r="E36" s="40" t="s">
        <v>262</v>
      </c>
      <c r="F36" s="28" t="s">
        <v>263</v>
      </c>
      <c r="G36" s="35">
        <v>13</v>
      </c>
      <c r="H36" s="35">
        <v>58</v>
      </c>
      <c r="I36" s="44">
        <f>H36/5</f>
        <v>11.6</v>
      </c>
      <c r="J36" s="32" t="s">
        <v>232</v>
      </c>
      <c r="K36" s="23" t="s">
        <v>103</v>
      </c>
      <c r="L36" s="43">
        <f>INDEX(Inputs!$B$17:$B$19,MATCH(K36,Inputs!$A$17:$A$19,0))</f>
        <v>1</v>
      </c>
      <c r="M36" s="23" t="s">
        <v>86</v>
      </c>
      <c r="N36" s="44">
        <f>IF(M36="Y",I36*L36,0)</f>
        <v>11.6</v>
      </c>
      <c r="O36" s="45">
        <f>IF($N$53=0,0,N36/$N$53)</f>
        <v>0.00641238253178552</v>
      </c>
      <c r="P36" s="4">
        <f>O36*Inputs!$B$6</f>
        <v>705618.573797678</v>
      </c>
      <c r="Q36" s="25">
        <f>P36/100000</f>
        <v>7.05618573797678</v>
      </c>
    </row>
    <row r="37" spans="1:17" x14ac:dyDescent="0.25">
      <c r="A37" s="40">
        <v>13</v>
      </c>
      <c r="B37" s="40" t="s">
        <v>269</v>
      </c>
      <c r="C37" s="28" t="s">
        <v>270</v>
      </c>
      <c r="D37" s="23" t="s">
        <v>64</v>
      </c>
      <c r="E37" s="40" t="s">
        <v>262</v>
      </c>
      <c r="F37" s="28" t="s">
        <v>263</v>
      </c>
      <c r="G37" s="35">
        <v>13</v>
      </c>
      <c r="H37" s="35">
        <v>58</v>
      </c>
      <c r="I37" s="44">
        <f>H37/5</f>
        <v>11.6</v>
      </c>
      <c r="J37" s="32" t="s">
        <v>232</v>
      </c>
      <c r="K37" s="23" t="s">
        <v>103</v>
      </c>
      <c r="L37" s="43">
        <f>INDEX(Inputs!$B$17:$B$19,MATCH(K37,Inputs!$A$17:$A$19,0))</f>
        <v>1</v>
      </c>
      <c r="M37" s="23" t="s">
        <v>86</v>
      </c>
      <c r="N37" s="44">
        <f>IF(M37="Y",I37*L37,0)</f>
        <v>11.6</v>
      </c>
      <c r="O37" s="45">
        <f>IF($N$53=0,0,N37/$N$53)</f>
        <v>0.00641238253178552</v>
      </c>
      <c r="P37" s="4">
        <f>O37*Inputs!$B$6</f>
        <v>705618.573797678</v>
      </c>
      <c r="Q37" s="25">
        <f>P37/100000</f>
        <v>7.05618573797678</v>
      </c>
    </row>
    <row r="38" spans="1:17" x14ac:dyDescent="0.25">
      <c r="A38" s="40">
        <v>13</v>
      </c>
      <c r="B38" s="40" t="s">
        <v>271</v>
      </c>
      <c r="C38" s="28" t="s">
        <v>272</v>
      </c>
      <c r="D38" s="23" t="s">
        <v>64</v>
      </c>
      <c r="E38" s="40" t="s">
        <v>262</v>
      </c>
      <c r="F38" s="28" t="s">
        <v>263</v>
      </c>
      <c r="G38" s="35">
        <v>13</v>
      </c>
      <c r="H38" s="35">
        <v>58</v>
      </c>
      <c r="I38" s="44">
        <f>H38/5</f>
        <v>11.6</v>
      </c>
      <c r="J38" s="32" t="s">
        <v>232</v>
      </c>
      <c r="K38" s="23" t="s">
        <v>103</v>
      </c>
      <c r="L38" s="43">
        <f>INDEX(Inputs!$B$17:$B$19,MATCH(K38,Inputs!$A$17:$A$19,0))</f>
        <v>1</v>
      </c>
      <c r="M38" s="23" t="s">
        <v>86</v>
      </c>
      <c r="N38" s="44">
        <f>IF(M38="Y",I38*L38,0)</f>
        <v>11.6</v>
      </c>
      <c r="O38" s="45">
        <f>IF($N$53=0,0,N38/$N$53)</f>
        <v>0.00641238253178552</v>
      </c>
      <c r="P38" s="4">
        <f>O38*Inputs!$B$6</f>
        <v>705618.573797678</v>
      </c>
      <c r="Q38" s="25">
        <f>P38/100000</f>
        <v>7.05618573797678</v>
      </c>
    </row>
    <row r="39" spans="1:17" x14ac:dyDescent="0.25">
      <c r="A39" s="40">
        <v>14</v>
      </c>
      <c r="B39" s="40" t="s">
        <v>273</v>
      </c>
      <c r="C39" s="28" t="s">
        <v>274</v>
      </c>
      <c r="D39" s="23" t="s">
        <v>66</v>
      </c>
      <c r="E39" s="40" t="s">
        <v>275</v>
      </c>
      <c r="F39" s="28" t="s">
        <v>276</v>
      </c>
      <c r="G39" s="35">
        <v>24</v>
      </c>
      <c r="H39" s="35">
        <v>174</v>
      </c>
      <c r="I39" s="44">
        <f>H39</f>
        <v>174</v>
      </c>
      <c r="J39" s="32" t="s">
        <v>277</v>
      </c>
      <c r="K39" s="23" t="s">
        <v>103</v>
      </c>
      <c r="L39" s="43">
        <f>INDEX(Inputs!$B$17:$B$19,MATCH(K39,Inputs!$A$17:$A$19,0))</f>
        <v>1</v>
      </c>
      <c r="M39" s="23" t="s">
        <v>86</v>
      </c>
      <c r="N39" s="44">
        <f>IF(M39="Y",I39*L39,0)</f>
        <v>174</v>
      </c>
      <c r="O39" s="45">
        <f>IF($N$53=0,0,N39/$N$53)</f>
        <v>0.0961857379767828</v>
      </c>
      <c r="P39" s="4">
        <f>O39*Inputs!$B$6</f>
        <v>10584278.6069652</v>
      </c>
      <c r="Q39" s="25">
        <f>P39/100000</f>
        <v>105.842786069652</v>
      </c>
    </row>
    <row r="40" spans="1:17" x14ac:dyDescent="0.25">
      <c r="A40" s="40">
        <v>14</v>
      </c>
      <c r="B40" s="40" t="s">
        <v>278</v>
      </c>
      <c r="C40" s="28" t="s">
        <v>279</v>
      </c>
      <c r="D40" s="23" t="s">
        <v>66</v>
      </c>
      <c r="E40" s="40" t="s">
        <v>280</v>
      </c>
      <c r="F40" s="28" t="s">
        <v>281</v>
      </c>
      <c r="G40" s="35">
        <v>14</v>
      </c>
      <c r="H40" s="35">
        <v>136</v>
      </c>
      <c r="I40" s="44">
        <f>H40</f>
        <v>136</v>
      </c>
      <c r="J40" s="32" t="s">
        <v>282</v>
      </c>
      <c r="K40" s="23" t="s">
        <v>105</v>
      </c>
      <c r="L40" s="43">
        <f>INDEX(Inputs!$B$17:$B$19,MATCH(K40,Inputs!$A$17:$A$19,0))</f>
        <v>0.5</v>
      </c>
      <c r="M40" s="23" t="s">
        <v>86</v>
      </c>
      <c r="N40" s="44">
        <f>IF(M40="Y",I40*L40,0)</f>
        <v>68</v>
      </c>
      <c r="O40" s="45">
        <f>IF($N$53=0,0,N40/$N$53)</f>
        <v>0.0375898286346048</v>
      </c>
      <c r="P40" s="4">
        <f>O40*Inputs!$B$6</f>
        <v>4136384.74295191</v>
      </c>
      <c r="Q40" s="25">
        <f>P40/100000</f>
        <v>41.3638474295191</v>
      </c>
    </row>
    <row r="41" spans="1:17" x14ac:dyDescent="0.25">
      <c r="A41" s="40">
        <v>14</v>
      </c>
      <c r="B41" s="40" t="s">
        <v>283</v>
      </c>
      <c r="C41" s="28" t="s">
        <v>284</v>
      </c>
      <c r="D41" s="23" t="s">
        <v>66</v>
      </c>
      <c r="E41" s="40" t="s">
        <v>27</v>
      </c>
      <c r="F41" s="28" t="s">
        <v>285</v>
      </c>
      <c r="G41" s="35"/>
      <c r="H41" s="35"/>
      <c r="I41" s="41">
        <v>50</v>
      </c>
      <c r="J41" s="42" t="s">
        <v>286</v>
      </c>
      <c r="K41" s="23" t="s">
        <v>105</v>
      </c>
      <c r="L41" s="43">
        <f>INDEX(Inputs!$B$17:$B$19,MATCH(K41,Inputs!$A$17:$A$19,0))</f>
        <v>0.5</v>
      </c>
      <c r="M41" s="23" t="s">
        <v>86</v>
      </c>
      <c r="N41" s="44">
        <f>IF(M41="Y",I41*L41,0)</f>
        <v>25</v>
      </c>
      <c r="O41" s="45">
        <f>IF($N$53=0,0,N41/$N$53)</f>
        <v>0.0138197899391929</v>
      </c>
      <c r="P41" s="4">
        <f>O41*Inputs!$B$6</f>
        <v>1520729.68490879</v>
      </c>
      <c r="Q41" s="25">
        <f>P41/100000</f>
        <v>15.2072968490879</v>
      </c>
    </row>
    <row r="42" spans="1:17" x14ac:dyDescent="0.25">
      <c r="A42" s="40">
        <v>15</v>
      </c>
      <c r="B42" s="40" t="s">
        <v>287</v>
      </c>
      <c r="C42" s="28" t="s">
        <v>288</v>
      </c>
      <c r="D42" s="23" t="s">
        <v>68</v>
      </c>
      <c r="E42" s="40" t="s">
        <v>289</v>
      </c>
      <c r="F42" s="28" t="s">
        <v>290</v>
      </c>
      <c r="G42" s="35">
        <v>16</v>
      </c>
      <c r="H42" s="35">
        <v>86</v>
      </c>
      <c r="I42" s="44">
        <f>H42</f>
        <v>86</v>
      </c>
      <c r="J42" s="32" t="s">
        <v>291</v>
      </c>
      <c r="K42" s="23" t="s">
        <v>103</v>
      </c>
      <c r="L42" s="43">
        <f>INDEX(Inputs!$B$17:$B$19,MATCH(K42,Inputs!$A$17:$A$19,0))</f>
        <v>1</v>
      </c>
      <c r="M42" s="23" t="s">
        <v>86</v>
      </c>
      <c r="N42" s="44">
        <f>IF(M42="Y",I42*L42,0)</f>
        <v>86</v>
      </c>
      <c r="O42" s="45">
        <f>IF($N$53=0,0,N42/$N$53)</f>
        <v>0.0475400773908237</v>
      </c>
      <c r="P42" s="4">
        <f>O42*Inputs!$B$6</f>
        <v>5231310.11608624</v>
      </c>
      <c r="Q42" s="25">
        <f>P42/100000</f>
        <v>52.3131011608624</v>
      </c>
    </row>
    <row r="43" spans="1:17" x14ac:dyDescent="0.25">
      <c r="A43" s="40">
        <v>15</v>
      </c>
      <c r="B43" s="40" t="s">
        <v>292</v>
      </c>
      <c r="C43" s="28" t="s">
        <v>293</v>
      </c>
      <c r="D43" s="23" t="s">
        <v>68</v>
      </c>
      <c r="E43" s="40" t="s">
        <v>294</v>
      </c>
      <c r="F43" s="28" t="s">
        <v>295</v>
      </c>
      <c r="G43" s="35">
        <v>16</v>
      </c>
      <c r="H43" s="35">
        <v>86</v>
      </c>
      <c r="I43" s="44">
        <f>H43</f>
        <v>86</v>
      </c>
      <c r="J43" s="32" t="s">
        <v>296</v>
      </c>
      <c r="K43" s="23" t="s">
        <v>105</v>
      </c>
      <c r="L43" s="43">
        <f>INDEX(Inputs!$B$17:$B$19,MATCH(K43,Inputs!$A$17:$A$19,0))</f>
        <v>0.5</v>
      </c>
      <c r="M43" s="23" t="s">
        <v>86</v>
      </c>
      <c r="N43" s="44">
        <f>IF(M43="Y",I43*L43,0)</f>
        <v>43</v>
      </c>
      <c r="O43" s="45">
        <f>IF($N$53=0,0,N43/$N$53)</f>
        <v>0.0237700386954118</v>
      </c>
      <c r="P43" s="4">
        <f>O43*Inputs!$B$6</f>
        <v>2615655.05804312</v>
      </c>
      <c r="Q43" s="25">
        <f>P43/100000</f>
        <v>26.1565505804312</v>
      </c>
    </row>
    <row r="44" spans="1:17" x14ac:dyDescent="0.25">
      <c r="A44" s="40">
        <v>15</v>
      </c>
      <c r="B44" s="40" t="s">
        <v>297</v>
      </c>
      <c r="C44" s="28" t="s">
        <v>298</v>
      </c>
      <c r="D44" s="23" t="s">
        <v>68</v>
      </c>
      <c r="E44" s="40" t="s">
        <v>299</v>
      </c>
      <c r="F44" s="28" t="s">
        <v>300</v>
      </c>
      <c r="G44" s="35">
        <v>16</v>
      </c>
      <c r="H44" s="35">
        <v>86</v>
      </c>
      <c r="I44" s="44">
        <f>H44</f>
        <v>86</v>
      </c>
      <c r="J44" s="32" t="s">
        <v>301</v>
      </c>
      <c r="K44" s="23" t="s">
        <v>105</v>
      </c>
      <c r="L44" s="43">
        <f>INDEX(Inputs!$B$17:$B$19,MATCH(K44,Inputs!$A$17:$A$19,0))</f>
        <v>0.5</v>
      </c>
      <c r="M44" s="23" t="s">
        <v>86</v>
      </c>
      <c r="N44" s="44">
        <f>IF(M44="Y",I44*L44,0)</f>
        <v>43</v>
      </c>
      <c r="O44" s="45">
        <f>IF($N$53=0,0,N44/$N$53)</f>
        <v>0.0237700386954118</v>
      </c>
      <c r="P44" s="4">
        <f>O44*Inputs!$B$6</f>
        <v>2615655.05804312</v>
      </c>
      <c r="Q44" s="25">
        <f>P44/100000</f>
        <v>26.1565505804312</v>
      </c>
    </row>
    <row r="45" ht="26.4" customHeight="1" spans="1:17" x14ac:dyDescent="0.25">
      <c r="A45" s="40">
        <v>16</v>
      </c>
      <c r="B45" s="40" t="s">
        <v>302</v>
      </c>
      <c r="C45" s="28" t="s">
        <v>303</v>
      </c>
      <c r="D45" s="23" t="s">
        <v>68</v>
      </c>
      <c r="E45" s="40" t="s">
        <v>304</v>
      </c>
      <c r="F45" s="28" t="s">
        <v>305</v>
      </c>
      <c r="G45" s="35">
        <v>12</v>
      </c>
      <c r="H45" s="35">
        <v>53</v>
      </c>
      <c r="I45" s="44">
        <f>H45</f>
        <v>53</v>
      </c>
      <c r="J45" s="32" t="s">
        <v>306</v>
      </c>
      <c r="K45" s="23" t="s">
        <v>103</v>
      </c>
      <c r="L45" s="43">
        <f>INDEX(Inputs!$B$17:$B$19,MATCH(K45,Inputs!$A$17:$A$19,0))</f>
        <v>1</v>
      </c>
      <c r="M45" s="23" t="s">
        <v>86</v>
      </c>
      <c r="N45" s="44">
        <f>IF(M45="Y",I45*L45,0)</f>
        <v>53</v>
      </c>
      <c r="O45" s="45">
        <f>IF($N$53=0,0,N45/$N$53)</f>
        <v>0.029297954671089</v>
      </c>
      <c r="P45" s="4">
        <f>O45*Inputs!$B$6</f>
        <v>3223946.93200663</v>
      </c>
      <c r="Q45" s="25">
        <f>P45/100000</f>
        <v>32.2394693200663</v>
      </c>
    </row>
    <row r="46" ht="26.4" customHeight="1" spans="1:17" x14ac:dyDescent="0.25">
      <c r="A46" s="40">
        <v>16</v>
      </c>
      <c r="B46" s="40" t="s">
        <v>307</v>
      </c>
      <c r="C46" s="28" t="s">
        <v>308</v>
      </c>
      <c r="D46" s="23" t="s">
        <v>68</v>
      </c>
      <c r="E46" s="40" t="s">
        <v>309</v>
      </c>
      <c r="F46" s="28" t="s">
        <v>310</v>
      </c>
      <c r="G46" s="35">
        <v>12</v>
      </c>
      <c r="H46" s="35">
        <v>53</v>
      </c>
      <c r="I46" s="44">
        <f>H46</f>
        <v>53</v>
      </c>
      <c r="J46" s="32" t="s">
        <v>311</v>
      </c>
      <c r="K46" s="23" t="s">
        <v>105</v>
      </c>
      <c r="L46" s="43">
        <f>INDEX(Inputs!$B$17:$B$19,MATCH(K46,Inputs!$A$17:$A$19,0))</f>
        <v>0.5</v>
      </c>
      <c r="M46" s="23" t="s">
        <v>86</v>
      </c>
      <c r="N46" s="44">
        <f>IF(M46="Y",I46*L46,0)</f>
        <v>26.5</v>
      </c>
      <c r="O46" s="45">
        <f>IF($N$53=0,0,N46/$N$53)</f>
        <v>0.0146489773355445</v>
      </c>
      <c r="P46" s="4">
        <f>O46*Inputs!$B$6</f>
        <v>1611973.46600332</v>
      </c>
      <c r="Q46" s="25">
        <f>P46/100000</f>
        <v>16.1197346600332</v>
      </c>
    </row>
    <row r="47" spans="1:17" x14ac:dyDescent="0.25">
      <c r="A47" s="40">
        <v>17</v>
      </c>
      <c r="B47" s="40" t="s">
        <v>312</v>
      </c>
      <c r="C47" s="28" t="s">
        <v>313</v>
      </c>
      <c r="D47" s="23" t="s">
        <v>68</v>
      </c>
      <c r="E47" s="40" t="s">
        <v>314</v>
      </c>
      <c r="F47" s="28" t="s">
        <v>315</v>
      </c>
      <c r="G47" s="35">
        <v>8</v>
      </c>
      <c r="H47" s="35">
        <v>34</v>
      </c>
      <c r="I47" s="44">
        <f>H47</f>
        <v>34</v>
      </c>
      <c r="J47" s="32" t="s">
        <v>316</v>
      </c>
      <c r="K47" s="23" t="s">
        <v>103</v>
      </c>
      <c r="L47" s="43">
        <f>INDEX(Inputs!$B$17:$B$19,MATCH(K47,Inputs!$A$17:$A$19,0))</f>
        <v>1</v>
      </c>
      <c r="M47" s="23" t="s">
        <v>86</v>
      </c>
      <c r="N47" s="44">
        <f>IF(M47="Y",I47*L47,0)</f>
        <v>34</v>
      </c>
      <c r="O47" s="45">
        <f>IF($N$53=0,0,N47/$N$53)</f>
        <v>0.0187949143173024</v>
      </c>
      <c r="P47" s="4">
        <f>O47*Inputs!$B$6</f>
        <v>2068192.37147595</v>
      </c>
      <c r="Q47" s="25">
        <f>P47/100000</f>
        <v>20.6819237147595</v>
      </c>
    </row>
    <row r="48" ht="26.4" customHeight="1" spans="1:17" x14ac:dyDescent="0.25">
      <c r="A48" s="40">
        <v>18</v>
      </c>
      <c r="B48" s="40" t="s">
        <v>317</v>
      </c>
      <c r="C48" s="28" t="s">
        <v>318</v>
      </c>
      <c r="D48" s="23" t="s">
        <v>70</v>
      </c>
      <c r="E48" s="40" t="s">
        <v>319</v>
      </c>
      <c r="F48" s="28" t="s">
        <v>320</v>
      </c>
      <c r="G48" s="35">
        <v>14</v>
      </c>
      <c r="H48" s="35">
        <v>59</v>
      </c>
      <c r="I48" s="44">
        <f>H48</f>
        <v>59</v>
      </c>
      <c r="J48" s="32" t="s">
        <v>321</v>
      </c>
      <c r="K48" s="23" t="s">
        <v>103</v>
      </c>
      <c r="L48" s="43">
        <f>INDEX(Inputs!$B$17:$B$19,MATCH(K48,Inputs!$A$17:$A$19,0))</f>
        <v>1</v>
      </c>
      <c r="M48" s="23" t="s">
        <v>86</v>
      </c>
      <c r="N48" s="44">
        <f>IF(M48="Y",I48*L48,0)</f>
        <v>59</v>
      </c>
      <c r="O48" s="45">
        <f>IF($N$53=0,0,N48/$N$53)</f>
        <v>0.0326147042564953</v>
      </c>
      <c r="P48" s="4">
        <f>O48*Inputs!$B$6</f>
        <v>3588922.05638474</v>
      </c>
      <c r="Q48" s="25">
        <f>P48/100000</f>
        <v>35.8892205638474</v>
      </c>
    </row>
    <row r="49" spans="1:17" x14ac:dyDescent="0.25">
      <c r="A49" s="40">
        <v>19</v>
      </c>
      <c r="B49" s="40" t="s">
        <v>322</v>
      </c>
      <c r="C49" s="28" t="s">
        <v>323</v>
      </c>
      <c r="D49" s="23" t="s">
        <v>70</v>
      </c>
      <c r="E49" s="40" t="s">
        <v>324</v>
      </c>
      <c r="F49" s="28" t="s">
        <v>325</v>
      </c>
      <c r="G49" s="35">
        <v>12</v>
      </c>
      <c r="H49" s="35">
        <v>53</v>
      </c>
      <c r="I49" s="44">
        <f>H49</f>
        <v>53</v>
      </c>
      <c r="J49" s="32" t="s">
        <v>326</v>
      </c>
      <c r="K49" s="23" t="s">
        <v>103</v>
      </c>
      <c r="L49" s="43">
        <f>INDEX(Inputs!$B$17:$B$19,MATCH(K49,Inputs!$A$17:$A$19,0))</f>
        <v>1</v>
      </c>
      <c r="M49" s="23" t="s">
        <v>86</v>
      </c>
      <c r="N49" s="44">
        <f>IF(M49="Y",I49*L49,0)</f>
        <v>53</v>
      </c>
      <c r="O49" s="45">
        <f>IF($N$53=0,0,N49/$N$53)</f>
        <v>0.029297954671089</v>
      </c>
      <c r="P49" s="4">
        <f>O49*Inputs!$B$6</f>
        <v>3223946.93200663</v>
      </c>
      <c r="Q49" s="25">
        <f>P49/100000</f>
        <v>32.2394693200663</v>
      </c>
    </row>
    <row r="50" ht="26.4" customHeight="1" spans="1:17" x14ac:dyDescent="0.25">
      <c r="A50" s="40">
        <v>20</v>
      </c>
      <c r="B50" s="40" t="s">
        <v>327</v>
      </c>
      <c r="C50" s="28" t="s">
        <v>328</v>
      </c>
      <c r="D50" s="23" t="s">
        <v>70</v>
      </c>
      <c r="E50" s="40" t="s">
        <v>27</v>
      </c>
      <c r="F50" s="28" t="s">
        <v>285</v>
      </c>
      <c r="G50" s="35"/>
      <c r="H50" s="35"/>
      <c r="I50" s="41">
        <v>30</v>
      </c>
      <c r="J50" s="42" t="s">
        <v>194</v>
      </c>
      <c r="K50" s="23" t="s">
        <v>103</v>
      </c>
      <c r="L50" s="43">
        <f>INDEX(Inputs!$B$17:$B$19,MATCH(K50,Inputs!$A$17:$A$19,0))</f>
        <v>1</v>
      </c>
      <c r="M50" s="23" t="s">
        <v>86</v>
      </c>
      <c r="N50" s="44">
        <f>IF(M50="Y",I50*L50,0)</f>
        <v>30</v>
      </c>
      <c r="O50" s="45">
        <f>IF($N$53=0,0,N50/$N$53)</f>
        <v>0.0165837479270315</v>
      </c>
      <c r="P50" s="4">
        <f>O50*Inputs!$B$6</f>
        <v>1824875.62189055</v>
      </c>
      <c r="Q50" s="25">
        <f>P50/100000</f>
        <v>18.2487562189055</v>
      </c>
    </row>
    <row r="51" ht="26.4" customHeight="1" spans="1:17" x14ac:dyDescent="0.25">
      <c r="A51" s="40">
        <v>21</v>
      </c>
      <c r="B51" s="40" t="s">
        <v>329</v>
      </c>
      <c r="C51" s="28" t="s">
        <v>330</v>
      </c>
      <c r="D51" s="23" t="s">
        <v>70</v>
      </c>
      <c r="E51" s="40" t="s">
        <v>331</v>
      </c>
      <c r="F51" s="28" t="s">
        <v>332</v>
      </c>
      <c r="G51" s="35">
        <v>12</v>
      </c>
      <c r="H51" s="35">
        <v>53</v>
      </c>
      <c r="I51" s="44">
        <f>H51</f>
        <v>53</v>
      </c>
      <c r="J51" s="32" t="s">
        <v>333</v>
      </c>
      <c r="K51" s="23" t="s">
        <v>103</v>
      </c>
      <c r="L51" s="43">
        <f>INDEX(Inputs!$B$17:$B$19,MATCH(K51,Inputs!$A$17:$A$19,0))</f>
        <v>1</v>
      </c>
      <c r="M51" s="23" t="s">
        <v>86</v>
      </c>
      <c r="N51" s="44">
        <f>IF(M51="Y",I51*L51,0)</f>
        <v>53</v>
      </c>
      <c r="O51" s="45">
        <f>IF($N$53=0,0,N51/$N$53)</f>
        <v>0.029297954671089</v>
      </c>
      <c r="P51" s="4">
        <f>O51*Inputs!$B$6</f>
        <v>3223946.93200663</v>
      </c>
      <c r="Q51" s="25">
        <f>P51/100000</f>
        <v>32.2394693200663</v>
      </c>
    </row>
    <row r="52" ht="26.4" customHeight="1" spans="1:17" x14ac:dyDescent="0.25">
      <c r="A52" s="40">
        <v>21</v>
      </c>
      <c r="B52" s="40" t="s">
        <v>329</v>
      </c>
      <c r="C52" s="28" t="s">
        <v>334</v>
      </c>
      <c r="D52" s="23" t="s">
        <v>70</v>
      </c>
      <c r="E52" s="40" t="s">
        <v>335</v>
      </c>
      <c r="F52" s="28" t="s">
        <v>336</v>
      </c>
      <c r="G52" s="35">
        <v>12</v>
      </c>
      <c r="H52" s="35">
        <v>55</v>
      </c>
      <c r="I52" s="44">
        <f>H52</f>
        <v>55</v>
      </c>
      <c r="J52" s="32" t="s">
        <v>337</v>
      </c>
      <c r="K52" s="23" t="s">
        <v>105</v>
      </c>
      <c r="L52" s="43">
        <f>INDEX(Inputs!$B$17:$B$19,MATCH(K52,Inputs!$A$17:$A$19,0))</f>
        <v>0.5</v>
      </c>
      <c r="M52" s="23" t="s">
        <v>86</v>
      </c>
      <c r="N52" s="44">
        <f>IF(M52="Y",I52*L52,0)</f>
        <v>27.5</v>
      </c>
      <c r="O52" s="45">
        <f>IF($N$53=0,0,N52/$N$53)</f>
        <v>0.0152017689331122</v>
      </c>
      <c r="P52" s="4">
        <f>O52*Inputs!$B$6</f>
        <v>1672802.65339967</v>
      </c>
      <c r="Q52" s="25">
        <f>P52/100000</f>
        <v>16.7280265339967</v>
      </c>
    </row>
    <row r="53" spans="1:17" x14ac:dyDescent="0.25">
      <c r="A53" s="14"/>
      <c r="B53" s="14"/>
      <c r="C53" s="15" t="s">
        <v>338</v>
      </c>
      <c r="D53" s="14"/>
      <c r="E53" s="14"/>
      <c r="F53" s="14"/>
      <c r="G53" s="14"/>
      <c r="H53" s="14"/>
      <c r="I53" s="19">
        <f>SUM(I5:I52)</f>
        <v>2378</v>
      </c>
      <c r="J53" s="14"/>
      <c r="K53" s="14"/>
      <c r="L53" s="14"/>
      <c r="M53" s="14"/>
      <c r="N53" s="19">
        <f>SUM(N5:N52)</f>
        <v>1809</v>
      </c>
      <c r="O53" s="47">
        <f>SUM(O5:O52)</f>
        <v>1</v>
      </c>
      <c r="P53" s="16">
        <f>SUM(P5:P52)</f>
        <v>110040000</v>
      </c>
      <c r="Q53" s="27">
        <f>SUM(Q5:Q52)</f>
        <v>1100.4</v>
      </c>
    </row>
    <row r="54" spans="1:16" x14ac:dyDescent="0.25">
      <c r="C54" s="3" t="s">
        <v>339</v>
      </c>
      <c r="P54" s="3" t="str">
        <f>IF(ABS(P53-Inputs!B6)&lt;1,"OK","ERROR")</f>
        <v>OK</v>
      </c>
    </row>
    <row r="55" spans="1:16" x14ac:dyDescent="0.25">
      <c r="C55" s="3" t="s">
        <v>340</v>
      </c>
      <c r="P55" s="48">
        <f>IF(N53=0,0,Inputs!B6/N53)</f>
        <v>60829.1873963516</v>
      </c>
    </row>
  </sheetData>
  <autoFilter ref="A4:Q52"/>
  <mergeCells count="1">
    <mergeCell ref="A2:Q2"/>
  </mergeCells>
  <pageMargins left="0.75" right="0.75" top="1" bottom="1" header="0.5" footer="0.5"/>
  <pageSetup orientation="landscape"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W17"/>
  <sheetViews>
    <sheetView workbookViewId="0" showGridLines="0" zoomScale="100" zoomScaleNormal="100">
      <pane xSplit="2" ySplit="4" topLeftCell="C5" activePane="bottomRight" state="frozen"/>
      <selection pane="bottomRight"/>
    </sheetView>
  </sheetViews>
  <sheetFormatPr defaultRowHeight="14.4" outlineLevelRow="0" outlineLevelCol="0" x14ac:dyDescent="0.3" customHeight="1"/>
  <cols>
    <col min="1" max="1" width="8" customWidth="1"/>
    <col min="2" max="2" width="38" customWidth="1"/>
    <col min="3" max="3" width="13" customWidth="1"/>
    <col min="5" max="6" width="15" customWidth="1"/>
    <col min="7" max="7" width="13" customWidth="1"/>
    <col min="8" max="8" width="15" customWidth="1"/>
    <col min="9" max="9" width="10" customWidth="1"/>
    <col min="10" max="10" width="11" customWidth="1"/>
    <col min="11" max="11" width="12" customWidth="1"/>
    <col min="12" max="15" width="8" customWidth="1"/>
    <col min="16" max="16" width="10" customWidth="1"/>
    <col min="17" max="17" width="11" customWidth="1"/>
    <col min="18" max="22" width="13" customWidth="1"/>
  </cols>
  <sheetData>
    <row r="1" ht="17.4" customHeight="1" spans="1:1" x14ac:dyDescent="0.25">
      <c r="A1" s="1" t="s">
        <v>341</v>
      </c>
    </row>
    <row r="2" ht="25.95" customHeight="1" spans="1:23" x14ac:dyDescent="0.25">
      <c r="A2" s="2" t="s">
        <v>342</v>
      </c>
      <c r="B2"/>
      <c r="C2"/>
      <c r="D2"/>
      <c r="E2"/>
      <c r="F2"/>
      <c r="G2"/>
      <c r="H2"/>
      <c r="I2"/>
      <c r="J2"/>
      <c r="K2"/>
      <c r="L2"/>
      <c r="M2"/>
      <c r="N2"/>
      <c r="O2"/>
      <c r="P2"/>
      <c r="Q2"/>
      <c r="R2"/>
      <c r="S2"/>
      <c r="T2"/>
      <c r="U2"/>
      <c r="V2"/>
      <c r="W2"/>
    </row>
    <row r="4" ht="55.95" customHeight="1" spans="1:23" x14ac:dyDescent="0.25">
      <c r="A4" s="9" t="s">
        <v>10</v>
      </c>
      <c r="B4" s="9" t="s">
        <v>11</v>
      </c>
      <c r="C4" s="9" t="s">
        <v>343</v>
      </c>
      <c r="D4" s="9" t="s">
        <v>21</v>
      </c>
      <c r="E4" s="9" t="s">
        <v>344</v>
      </c>
      <c r="F4" s="9" t="s">
        <v>345</v>
      </c>
      <c r="G4" s="9" t="s">
        <v>346</v>
      </c>
      <c r="H4" s="9" t="s">
        <v>13</v>
      </c>
      <c r="I4" s="9" t="s">
        <v>347</v>
      </c>
      <c r="J4" s="9" t="s">
        <v>348</v>
      </c>
      <c r="K4" s="9" t="s">
        <v>16</v>
      </c>
      <c r="L4" s="9" t="s">
        <v>349</v>
      </c>
      <c r="M4" s="9" t="s">
        <v>350</v>
      </c>
      <c r="N4" s="9" t="s">
        <v>351</v>
      </c>
      <c r="O4" s="9" t="s">
        <v>352</v>
      </c>
      <c r="P4" s="9" t="s">
        <v>353</v>
      </c>
      <c r="Q4" s="9" t="s">
        <v>354</v>
      </c>
      <c r="R4" s="9" t="s">
        <v>355</v>
      </c>
      <c r="S4" s="9" t="s">
        <v>356</v>
      </c>
      <c r="T4" s="9" t="s">
        <v>115</v>
      </c>
      <c r="U4" s="9" t="s">
        <v>357</v>
      </c>
      <c r="V4" s="9" t="s">
        <v>358</v>
      </c>
      <c r="W4" s="9" t="s">
        <v>359</v>
      </c>
    </row>
    <row r="5" ht="40.05" customHeight="1" spans="1:23" x14ac:dyDescent="0.25">
      <c r="A5" s="49" t="s">
        <v>26</v>
      </c>
      <c r="B5" s="28" t="s">
        <v>360</v>
      </c>
      <c r="C5" s="40" t="s">
        <v>361</v>
      </c>
      <c r="D5" s="12">
        <f>SUMIF('Work Volume'!$D$5:$D$52,A5,'Work Volume'!$N$5:$N$52)</f>
        <v>240</v>
      </c>
      <c r="E5" s="4">
        <f>SUMIF('Work Volume'!$D$5:$D$52,A5,'Work Volume'!$P$5:$P$52)+Inputs!$B$5</f>
        <v>16224004.9751244</v>
      </c>
      <c r="F5" s="24">
        <f>ROUND(E5,Inputs!$B$14)</f>
        <v>16224000</v>
      </c>
      <c r="G5" s="24">
        <f>F5*Inputs!$B$8</f>
        <v>2433600</v>
      </c>
      <c r="H5" s="24">
        <f>F5+G5</f>
        <v>18657600</v>
      </c>
      <c r="I5" s="50">
        <f>H5/10000000</f>
        <v>1.86576</v>
      </c>
      <c r="J5" s="49" t="str">
        <f>IF(IF(Inputs!$B$9="Y",H5,F5)&lt;=Inputs!$B$7,"OK","EXCEEDS")</f>
        <v>OK</v>
      </c>
      <c r="K5" s="37">
        <v>46388</v>
      </c>
      <c r="L5" s="51">
        <v>1</v>
      </c>
      <c r="M5" s="51">
        <v>1</v>
      </c>
      <c r="N5" s="51">
        <v>1</v>
      </c>
      <c r="O5" s="51">
        <v>1</v>
      </c>
      <c r="P5" s="51">
        <v>3</v>
      </c>
      <c r="Q5" s="52">
        <f>L5+M5+N5+O5</f>
        <v>4</v>
      </c>
      <c r="R5" s="53">
        <f>EOMONTH(K5,-2)</f>
        <v>46356</v>
      </c>
      <c r="S5" s="53">
        <f>EOMONTH(K5,L5-1)</f>
        <v>46418</v>
      </c>
      <c r="T5" s="53">
        <f>EOMONTH(K5,L5+M5+N5-1)</f>
        <v>46477</v>
      </c>
      <c r="U5" s="54">
        <f>EOMONTH(K5,Q5-1)</f>
        <v>46507</v>
      </c>
      <c r="V5" s="53">
        <f>EOMONTH(K5,Q5+P5-1)</f>
        <v>46599</v>
      </c>
      <c r="W5" s="55">
        <f>COUNTIFS('Work Volume'!$D$5:$D$52,A5,'Work Volume'!$M$5:$M$52,"Y")</f>
        <v>8</v>
      </c>
    </row>
    <row r="6" ht="40.05" customHeight="1" spans="1:23" x14ac:dyDescent="0.25">
      <c r="A6" s="49" t="s">
        <v>41</v>
      </c>
      <c r="B6" s="28" t="s">
        <v>362</v>
      </c>
      <c r="C6" s="40" t="s">
        <v>363</v>
      </c>
      <c r="D6" s="12">
        <f>SUMIF('Work Volume'!$D$5:$D$52,A6,'Work Volume'!$N$5:$N$52)</f>
        <v>267</v>
      </c>
      <c r="E6" s="4">
        <f>SUMIF('Work Volume'!$D$5:$D$52,A6,'Work Volume'!$P$5:$P$52)</f>
        <v>16241393.0348259</v>
      </c>
      <c r="F6" s="24">
        <f>ROUND(E6,Inputs!$B$14)</f>
        <v>16241000</v>
      </c>
      <c r="G6" s="24">
        <f>F6*Inputs!$B$8</f>
        <v>2436150</v>
      </c>
      <c r="H6" s="24">
        <f>F6+G6</f>
        <v>18677150</v>
      </c>
      <c r="I6" s="50">
        <f>H6/10000000</f>
        <v>1.867715</v>
      </c>
      <c r="J6" s="49" t="str">
        <f>IF(IF(Inputs!$B$9="Y",H6,F6)&lt;=Inputs!$B$7,"OK","EXCEEDS")</f>
        <v>OK</v>
      </c>
      <c r="K6" s="37">
        <v>46508</v>
      </c>
      <c r="L6" s="51">
        <v>1</v>
      </c>
      <c r="M6" s="51">
        <v>1</v>
      </c>
      <c r="N6" s="51">
        <v>1</v>
      </c>
      <c r="O6" s="51">
        <v>1</v>
      </c>
      <c r="P6" s="51">
        <v>3</v>
      </c>
      <c r="Q6" s="52">
        <f>L6+M6+N6+O6</f>
        <v>4</v>
      </c>
      <c r="R6" s="53">
        <f>EOMONTH(K6,-2)</f>
        <v>46477</v>
      </c>
      <c r="S6" s="53">
        <f>EOMONTH(K6,L6-1)</f>
        <v>46538</v>
      </c>
      <c r="T6" s="53">
        <f>EOMONTH(K6,L6+M6+N6-1)</f>
        <v>46599</v>
      </c>
      <c r="U6" s="54">
        <f>EOMONTH(K6,Q6-1)</f>
        <v>46630</v>
      </c>
      <c r="V6" s="53">
        <f>EOMONTH(K6,Q6+P6-1)</f>
        <v>46721</v>
      </c>
      <c r="W6" s="55">
        <f>COUNTIFS('Work Volume'!$D$5:$D$52,A6,'Work Volume'!$M$5:$M$52,"Y")</f>
        <v>4</v>
      </c>
    </row>
    <row r="7" ht="40.05" customHeight="1" spans="1:23" x14ac:dyDescent="0.25">
      <c r="A7" s="49" t="s">
        <v>50</v>
      </c>
      <c r="B7" s="28" t="s">
        <v>364</v>
      </c>
      <c r="C7" s="40" t="s">
        <v>365</v>
      </c>
      <c r="D7" s="12">
        <f>SUMIF('Work Volume'!$D$5:$D$52,A7,'Work Volume'!$N$5:$N$52)</f>
        <v>242</v>
      </c>
      <c r="E7" s="4">
        <f>SUMIF('Work Volume'!$D$5:$D$52,A7,'Work Volume'!$P$5:$P$52)</f>
        <v>14720663.3499171</v>
      </c>
      <c r="F7" s="24">
        <f>ROUND(E7,Inputs!$B$14)</f>
        <v>14721000</v>
      </c>
      <c r="G7" s="24">
        <f>F7*Inputs!$B$8</f>
        <v>2208150</v>
      </c>
      <c r="H7" s="24">
        <f>F7+G7</f>
        <v>16929150</v>
      </c>
      <c r="I7" s="50">
        <f>H7/10000000</f>
        <v>1.692915</v>
      </c>
      <c r="J7" s="49" t="str">
        <f>IF(IF(Inputs!$B$9="Y",H7,F7)&lt;=Inputs!$B$7,"OK","EXCEEDS")</f>
        <v>OK</v>
      </c>
      <c r="K7" s="37">
        <v>46631</v>
      </c>
      <c r="L7" s="51">
        <v>1</v>
      </c>
      <c r="M7" s="51">
        <v>1</v>
      </c>
      <c r="N7" s="51">
        <v>1</v>
      </c>
      <c r="O7" s="51">
        <v>0</v>
      </c>
      <c r="P7" s="51">
        <v>3</v>
      </c>
      <c r="Q7" s="52">
        <f>L7+M7+N7+O7</f>
        <v>3</v>
      </c>
      <c r="R7" s="53">
        <f>EOMONTH(K7,-2)</f>
        <v>46599</v>
      </c>
      <c r="S7" s="53">
        <f>EOMONTH(K7,L7-1)</f>
        <v>46660</v>
      </c>
      <c r="T7" s="53">
        <f>EOMONTH(K7,L7+M7+N7-1)</f>
        <v>46721</v>
      </c>
      <c r="U7" s="54">
        <f>EOMONTH(K7,Q7-1)</f>
        <v>46721</v>
      </c>
      <c r="V7" s="53">
        <f>EOMONTH(K7,Q7+P7-1)</f>
        <v>46812</v>
      </c>
      <c r="W7" s="55">
        <f>COUNTIFS('Work Volume'!$D$5:$D$52,A7,'Work Volume'!$M$5:$M$52,"Y")</f>
        <v>6</v>
      </c>
    </row>
    <row r="8" ht="40.05" customHeight="1" spans="1:23" x14ac:dyDescent="0.25">
      <c r="A8" s="49" t="s">
        <v>64</v>
      </c>
      <c r="B8" s="28" t="s">
        <v>366</v>
      </c>
      <c r="C8" s="40" t="s">
        <v>367</v>
      </c>
      <c r="D8" s="12">
        <f>SUMIF('Work Volume'!$D$5:$D$52,A8,'Work Volume'!$N$5:$N$52)</f>
        <v>285</v>
      </c>
      <c r="E8" s="4">
        <f>SUMIF('Work Volume'!$D$5:$D$52,A8,'Work Volume'!$P$5:$P$52)</f>
        <v>17336318.4079602</v>
      </c>
      <c r="F8" s="24">
        <f>ROUND(E8,Inputs!$B$14)</f>
        <v>17336000</v>
      </c>
      <c r="G8" s="24">
        <f>F8*Inputs!$B$8</f>
        <v>2600400</v>
      </c>
      <c r="H8" s="24">
        <f>F8+G8</f>
        <v>19936400</v>
      </c>
      <c r="I8" s="50">
        <f>H8/10000000</f>
        <v>1.99364</v>
      </c>
      <c r="J8" s="49" t="str">
        <f>IF(IF(Inputs!$B$9="Y",H8,F8)&lt;=Inputs!$B$7,"OK","EXCEEDS")</f>
        <v>OK</v>
      </c>
      <c r="K8" s="37">
        <v>46753</v>
      </c>
      <c r="L8" s="51">
        <v>1</v>
      </c>
      <c r="M8" s="51">
        <v>3</v>
      </c>
      <c r="N8" s="51">
        <v>1</v>
      </c>
      <c r="O8" s="51">
        <v>1</v>
      </c>
      <c r="P8" s="51">
        <v>3</v>
      </c>
      <c r="Q8" s="52">
        <f>L8+M8+N8+O8</f>
        <v>6</v>
      </c>
      <c r="R8" s="53">
        <f>EOMONTH(K8,-2)</f>
        <v>46721</v>
      </c>
      <c r="S8" s="53">
        <f>EOMONTH(K8,L8-1)</f>
        <v>46783</v>
      </c>
      <c r="T8" s="53">
        <f>EOMONTH(K8,L8+M8+N8-1)</f>
        <v>46904</v>
      </c>
      <c r="U8" s="54">
        <f>EOMONTH(K8,Q8-1)</f>
        <v>46934</v>
      </c>
      <c r="V8" s="53">
        <f>EOMONTH(K8,Q8+P8-1)</f>
        <v>47026</v>
      </c>
      <c r="W8" s="55">
        <f>COUNTIFS('Work Volume'!$D$5:$D$52,A8,'Work Volume'!$M$5:$M$52,"Y")</f>
        <v>16</v>
      </c>
    </row>
    <row r="9" ht="40.05" customHeight="1" spans="1:23" x14ac:dyDescent="0.25">
      <c r="A9" s="49" t="s">
        <v>66</v>
      </c>
      <c r="B9" s="28" t="s">
        <v>368</v>
      </c>
      <c r="C9" s="40" t="s">
        <v>369</v>
      </c>
      <c r="D9" s="12">
        <f>SUMIF('Work Volume'!$D$5:$D$52,A9,'Work Volume'!$N$5:$N$52)</f>
        <v>267</v>
      </c>
      <c r="E9" s="4">
        <f>SUMIF('Work Volume'!$D$5:$D$52,A9,'Work Volume'!$P$5:$P$52)</f>
        <v>16241393.0348259</v>
      </c>
      <c r="F9" s="24">
        <f>ROUND(E9,Inputs!$B$14)</f>
        <v>16241000</v>
      </c>
      <c r="G9" s="24">
        <f>F9*Inputs!$B$8</f>
        <v>2436150</v>
      </c>
      <c r="H9" s="24">
        <f>F9+G9</f>
        <v>18677150</v>
      </c>
      <c r="I9" s="50">
        <f>H9/10000000</f>
        <v>1.867715</v>
      </c>
      <c r="J9" s="49" t="str">
        <f>IF(IF(Inputs!$B$9="Y",H9,F9)&lt;=Inputs!$B$7,"OK","EXCEEDS")</f>
        <v>OK</v>
      </c>
      <c r="K9" s="37">
        <v>46935</v>
      </c>
      <c r="L9" s="51">
        <v>1</v>
      </c>
      <c r="M9" s="51">
        <v>3</v>
      </c>
      <c r="N9" s="51">
        <v>1</v>
      </c>
      <c r="O9" s="51">
        <v>1</v>
      </c>
      <c r="P9" s="51">
        <v>3</v>
      </c>
      <c r="Q9" s="52">
        <f>L9+M9+N9+O9</f>
        <v>6</v>
      </c>
      <c r="R9" s="53">
        <f>EOMONTH(K9,-2)</f>
        <v>46904</v>
      </c>
      <c r="S9" s="53">
        <f>EOMONTH(K9,L9-1)</f>
        <v>46965</v>
      </c>
      <c r="T9" s="53">
        <f>EOMONTH(K9,L9+M9+N9-1)</f>
        <v>47087</v>
      </c>
      <c r="U9" s="54">
        <f>EOMONTH(K9,Q9-1)</f>
        <v>47118</v>
      </c>
      <c r="V9" s="53">
        <f>EOMONTH(K9,Q9+P9-1)</f>
        <v>47208</v>
      </c>
      <c r="W9" s="55">
        <f>COUNTIFS('Work Volume'!$D$5:$D$52,A9,'Work Volume'!$M$5:$M$52,"Y")</f>
        <v>3</v>
      </c>
    </row>
    <row r="10" ht="40.05" customHeight="1" spans="1:23" x14ac:dyDescent="0.25">
      <c r="A10" s="49" t="s">
        <v>68</v>
      </c>
      <c r="B10" s="28" t="s">
        <v>370</v>
      </c>
      <c r="C10" s="40" t="s">
        <v>371</v>
      </c>
      <c r="D10" s="12">
        <f>SUMIF('Work Volume'!$D$5:$D$52,A10,'Work Volume'!$N$5:$N$52)</f>
        <v>285.5</v>
      </c>
      <c r="E10" s="4">
        <f>SUMIF('Work Volume'!$D$5:$D$52,A10,'Work Volume'!$P$5:$P$52)</f>
        <v>17366733.0016584</v>
      </c>
      <c r="F10" s="24">
        <f>ROUND(E10,Inputs!$B$14)</f>
        <v>17367000</v>
      </c>
      <c r="G10" s="24">
        <f>F10*Inputs!$B$8</f>
        <v>2605050</v>
      </c>
      <c r="H10" s="24">
        <f>F10+G10</f>
        <v>19972050</v>
      </c>
      <c r="I10" s="50">
        <f>H10/10000000</f>
        <v>1.997205</v>
      </c>
      <c r="J10" s="49" t="str">
        <f>IF(IF(Inputs!$B$9="Y",H10,F10)&lt;=Inputs!$B$7,"OK","EXCEEDS")</f>
        <v>OK</v>
      </c>
      <c r="K10" s="37">
        <v>47119</v>
      </c>
      <c r="L10" s="51">
        <v>1</v>
      </c>
      <c r="M10" s="51">
        <v>3</v>
      </c>
      <c r="N10" s="51">
        <v>1</v>
      </c>
      <c r="O10" s="51">
        <v>1</v>
      </c>
      <c r="P10" s="51">
        <v>3</v>
      </c>
      <c r="Q10" s="52">
        <f>L10+M10+N10+O10</f>
        <v>6</v>
      </c>
      <c r="R10" s="53">
        <f>EOMONTH(K10,-2)</f>
        <v>47087</v>
      </c>
      <c r="S10" s="53">
        <f>EOMONTH(K10,L10-1)</f>
        <v>47149</v>
      </c>
      <c r="T10" s="53">
        <f>EOMONTH(K10,L10+M10+N10-1)</f>
        <v>47269</v>
      </c>
      <c r="U10" s="54">
        <f>EOMONTH(K10,Q10-1)</f>
        <v>47299</v>
      </c>
      <c r="V10" s="53">
        <f>EOMONTH(K10,Q10+P10-1)</f>
        <v>47391</v>
      </c>
      <c r="W10" s="55">
        <f>COUNTIFS('Work Volume'!$D$5:$D$52,A10,'Work Volume'!$M$5:$M$52,"Y")</f>
        <v>6</v>
      </c>
    </row>
    <row r="11" ht="40.05" customHeight="1" spans="1:23" x14ac:dyDescent="0.25">
      <c r="A11" s="49" t="s">
        <v>70</v>
      </c>
      <c r="B11" s="28" t="s">
        <v>372</v>
      </c>
      <c r="C11" s="40" t="s">
        <v>373</v>
      </c>
      <c r="D11" s="12">
        <f>SUMIF('Work Volume'!$D$5:$D$52,A11,'Work Volume'!$N$5:$N$52)</f>
        <v>222.5</v>
      </c>
      <c r="E11" s="4">
        <f>SUMIF('Work Volume'!$D$5:$D$52,A11,'Work Volume'!$P$5:$P$52)</f>
        <v>13534494.1956882</v>
      </c>
      <c r="F11" s="24">
        <f>Inputs!$B$4-SUM(F5:F10)</f>
        <v>13535000</v>
      </c>
      <c r="G11" s="24">
        <f>F11*Inputs!$B$8</f>
        <v>2030250</v>
      </c>
      <c r="H11" s="24">
        <f>F11+G11</f>
        <v>15565250</v>
      </c>
      <c r="I11" s="50">
        <f>H11/10000000</f>
        <v>1.556525</v>
      </c>
      <c r="J11" s="49" t="str">
        <f>IF(IF(Inputs!$B$9="Y",H11,F11)&lt;=Inputs!$B$7,"OK","EXCEEDS")</f>
        <v>OK</v>
      </c>
      <c r="K11" s="37">
        <v>47300</v>
      </c>
      <c r="L11" s="51">
        <v>1</v>
      </c>
      <c r="M11" s="51">
        <v>3</v>
      </c>
      <c r="N11" s="51">
        <v>1</v>
      </c>
      <c r="O11" s="51">
        <v>1</v>
      </c>
      <c r="P11" s="51">
        <v>3</v>
      </c>
      <c r="Q11" s="52">
        <f>L11+M11+N11+O11</f>
        <v>6</v>
      </c>
      <c r="R11" s="53">
        <f>EOMONTH(K11,-2)</f>
        <v>47269</v>
      </c>
      <c r="S11" s="53">
        <f>EOMONTH(K11,L11-1)</f>
        <v>47330</v>
      </c>
      <c r="T11" s="53">
        <f>EOMONTH(K11,L11+M11+N11-1)</f>
        <v>47452</v>
      </c>
      <c r="U11" s="54">
        <f>EOMONTH(K11,Q11-1)</f>
        <v>47483</v>
      </c>
      <c r="V11" s="53">
        <f>EOMONTH(K11,Q11+P11-1)</f>
        <v>47573</v>
      </c>
      <c r="W11" s="55">
        <f>COUNTIFS('Work Volume'!$D$5:$D$52,A11,'Work Volume'!$M$5:$M$52,"Y")</f>
        <v>5</v>
      </c>
    </row>
    <row r="12" ht="40.05" customHeight="1" spans="1:23" x14ac:dyDescent="0.25">
      <c r="A12" s="14"/>
      <c r="B12" s="15" t="s">
        <v>30</v>
      </c>
      <c r="C12" s="14"/>
      <c r="D12" s="19">
        <f>SUM(D5:D11)</f>
        <v>1809</v>
      </c>
      <c r="E12" s="16">
        <f>SUM(E5:E11)</f>
        <v>111665000</v>
      </c>
      <c r="F12" s="16">
        <f>SUM(F5:F11)</f>
        <v>111665000</v>
      </c>
      <c r="G12" s="16">
        <f>SUM(G5:G11)</f>
        <v>16749750</v>
      </c>
      <c r="H12" s="16">
        <f>SUM(H5:H11)</f>
        <v>128414750</v>
      </c>
      <c r="I12" s="17">
        <f>SUM(I5:I11)</f>
        <v>12.841475</v>
      </c>
      <c r="J12" s="14"/>
      <c r="K12" s="14"/>
      <c r="L12" s="14"/>
      <c r="M12" s="14"/>
      <c r="N12" s="14"/>
      <c r="O12" s="14"/>
      <c r="P12" s="14"/>
      <c r="Q12" s="14"/>
      <c r="R12" s="14"/>
      <c r="S12" s="14"/>
      <c r="T12" s="14"/>
      <c r="U12" s="56">
        <f>MAX(U5:U11)</f>
        <v>47483</v>
      </c>
      <c r="V12" s="14"/>
      <c r="W12" s="57">
        <f>SUM(W5:W11)</f>
        <v>48</v>
      </c>
    </row>
    <row r="13" ht="26.4" customHeight="1" spans="1:6" x14ac:dyDescent="0.25">
      <c r="B13" s="3" t="s">
        <v>374</v>
      </c>
      <c r="F13" s="3" t="str">
        <f>IF(ABS(F12-Inputs!B4)&lt;1,"OK","ERROR")</f>
        <v>OK</v>
      </c>
    </row>
    <row r="14" ht="26.4" customHeight="1" spans="1:6" x14ac:dyDescent="0.25">
      <c r="B14" s="3" t="s">
        <v>375</v>
      </c>
      <c r="F14" s="3" t="str">
        <f>IF(ABS(D12-'Work Volume'!N53)&lt;0.001,"OK","UNASSIGNED ROWS")</f>
        <v>OK</v>
      </c>
    </row>
    <row r="15" ht="26.4" customHeight="1" spans="1:6" x14ac:dyDescent="0.25">
      <c r="B15" s="3" t="s">
        <v>376</v>
      </c>
      <c r="F15" s="58">
        <f>MAX(I5:I11)</f>
        <v>1.997205</v>
      </c>
    </row>
    <row r="16" ht="26.4" customHeight="1" spans="1:6" x14ac:dyDescent="0.25">
      <c r="B16" s="3" t="s">
        <v>377</v>
      </c>
      <c r="F16" s="59">
        <f>(YEAR(U11)-YEAR(K5))*12+MONTH(U11)-MONTH(K5)+1</f>
        <v>36</v>
      </c>
    </row>
    <row r="17" ht="26.4" customHeight="1" spans="1:6" x14ac:dyDescent="0.25">
      <c r="B17" s="3" t="s">
        <v>378</v>
      </c>
      <c r="F17" s="3" t="str">
        <f>IF(AND(K6&gt;U5,K7&gt;U6,K8&gt;U7,K9&gt;U8,K10&gt;U9,K11&gt;U10),"OK","OVERLAP")</f>
        <v>OK</v>
      </c>
    </row>
  </sheetData>
  <mergeCells count="1">
    <mergeCell ref="A2:W2"/>
  </mergeCells>
  <conditionalFormatting sqref="J5:J11">
    <cfRule type="cellIs" dxfId="6" priority="1" operator="equal">
      <formula>"EXCEEDS"</formula>
    </cfRule>
    <cfRule type="cellIs" dxfId="7" priority="2" operator="equal">
      <formula>"OK"</formula>
    </cfRule>
  </conditionalFormatting>
  <conditionalFormatting sqref="F13:F14 F17">
    <cfRule type="cellIs" dxfId="8" priority="3" operator="equal">
      <formula>"OK"</formula>
    </cfRule>
    <cfRule type="cellIs" dxfId="9" priority="4" operator="notEqual">
      <formula>"OK"</formula>
    </cfRule>
  </conditionalFormatting>
  <pageMargins left="0.75" right="0.75" top="1" bottom="1" header="0.5" footer="0.5"/>
  <pageSetup orientation="landscape" horizontalDpi="4294967295" verticalDpi="4294967295" scale="100" fitToWidth="1" fitToHeight="0" firstPageNumber="1" useFirstPageNumber="1" copies="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6"/>
  <sheetViews>
    <sheetView workbookViewId="0" showGridLines="0" zoomScale="100" zoomScaleNormal="100">
      <pane ySplit="4" topLeftCell="A5" activePane="bottomLeft" state="frozen"/>
      <selection pane="bottomLeft"/>
    </sheetView>
  </sheetViews>
  <sheetFormatPr defaultRowHeight="14.4" outlineLevelRow="0" outlineLevelCol="0" x14ac:dyDescent="0.3" customHeight="1"/>
  <cols>
    <col min="1" max="1" width="12" customWidth="1"/>
    <col min="3" max="3" width="40" customWidth="1"/>
    <col min="4" max="4" width="11" customWidth="1"/>
    <col min="5" max="5" width="13" customWidth="1"/>
    <col min="6" max="6" width="7" customWidth="1"/>
    <col min="7" max="7" width="17" customWidth="1"/>
    <col min="8" max="8" width="15" customWidth="1"/>
    <col min="9" max="9" width="17" customWidth="1"/>
  </cols>
  <sheetData>
    <row r="1" ht="17.4" customHeight="1" spans="1:1" x14ac:dyDescent="0.25">
      <c r="A1" s="1" t="s">
        <v>379</v>
      </c>
    </row>
    <row r="2" spans="1:1" x14ac:dyDescent="0.25">
      <c r="A2" s="30" t="s">
        <v>380</v>
      </c>
    </row>
    <row r="4" ht="26.4" customHeight="1" spans="1:9" x14ac:dyDescent="0.25">
      <c r="A4" s="9" t="s">
        <v>381</v>
      </c>
      <c r="B4" s="9" t="s">
        <v>10</v>
      </c>
      <c r="C4" s="9" t="s">
        <v>382</v>
      </c>
      <c r="D4" s="9" t="s">
        <v>111</v>
      </c>
      <c r="E4" s="9" t="s">
        <v>383</v>
      </c>
      <c r="F4" s="9" t="s">
        <v>33</v>
      </c>
      <c r="G4" s="9" t="s">
        <v>384</v>
      </c>
      <c r="H4" s="9" t="s">
        <v>346</v>
      </c>
      <c r="I4" s="9" t="s">
        <v>385</v>
      </c>
    </row>
    <row r="5" spans="1:9" x14ac:dyDescent="0.25">
      <c r="A5" s="28" t="s">
        <v>386</v>
      </c>
      <c r="B5" s="40" t="s">
        <v>26</v>
      </c>
      <c r="C5" s="28" t="s">
        <v>387</v>
      </c>
      <c r="D5" s="60">
        <f>Inputs!$B$5/Packages!$F$5</f>
        <v>0.100160256410256</v>
      </c>
      <c r="E5" s="7">
        <f>EOMONTH(Packages!K5,-1)</f>
        <v>46387</v>
      </c>
      <c r="F5" s="61">
        <f>YEAR(E5)</f>
        <v>2026</v>
      </c>
      <c r="G5" s="4">
        <f>Inputs!$B$5</f>
        <v>1625000</v>
      </c>
      <c r="H5" s="4">
        <f>G5*Inputs!$B$8</f>
        <v>243750</v>
      </c>
      <c r="I5" s="24">
        <f>G5+H5</f>
        <v>1868750</v>
      </c>
    </row>
    <row r="6" spans="1:9" x14ac:dyDescent="0.25">
      <c r="A6" s="28" t="s">
        <v>386</v>
      </c>
      <c r="B6" s="40" t="s">
        <v>26</v>
      </c>
      <c r="C6" s="11" t="str">
        <f>Inputs!A23&amp;" (development part)"</f>
        <v>M1 Design &amp; prototype sign-off (development part)</v>
      </c>
      <c r="D6" s="62">
        <f>Inputs!B23</f>
        <v>0.2</v>
      </c>
      <c r="E6" s="7">
        <f>Packages!S5</f>
        <v>46418</v>
      </c>
      <c r="F6" s="61">
        <f>YEAR(E6)</f>
        <v>2027</v>
      </c>
      <c r="G6" s="4">
        <f>D6*(Packages!$F$5-Inputs!$B$5)</f>
        <v>2919800</v>
      </c>
      <c r="H6" s="4">
        <f>G6*Inputs!$B$8</f>
        <v>437970</v>
      </c>
      <c r="I6" s="24">
        <f>G6+H6</f>
        <v>3357770</v>
      </c>
    </row>
    <row r="7" spans="1:9" x14ac:dyDescent="0.25">
      <c r="A7" s="28" t="s">
        <v>386</v>
      </c>
      <c r="B7" s="40" t="s">
        <v>26</v>
      </c>
      <c r="C7" s="11" t="str">
        <f>Inputs!A24&amp;" (development part)"</f>
        <v>M2 UAT acceptance (development part)</v>
      </c>
      <c r="D7" s="62">
        <f>Inputs!B24</f>
        <v>0.3</v>
      </c>
      <c r="E7" s="7">
        <f>Packages!T5</f>
        <v>46477</v>
      </c>
      <c r="F7" s="61">
        <f>YEAR(E7)</f>
        <v>2027</v>
      </c>
      <c r="G7" s="4">
        <f>D7*(Packages!$F$5-Inputs!$B$5)</f>
        <v>4379700</v>
      </c>
      <c r="H7" s="4">
        <f>G7*Inputs!$B$8</f>
        <v>656955</v>
      </c>
      <c r="I7" s="24">
        <f>G7+H7</f>
        <v>5036655</v>
      </c>
    </row>
    <row r="8" spans="1:9" x14ac:dyDescent="0.25">
      <c r="A8" s="28" t="s">
        <v>386</v>
      </c>
      <c r="B8" s="40" t="s">
        <v>26</v>
      </c>
      <c r="C8" s="11" t="str">
        <f>Inputs!A25&amp;" (development part)"</f>
        <v>M3 Go-live (development part)</v>
      </c>
      <c r="D8" s="62">
        <f>Inputs!B25</f>
        <v>0.4</v>
      </c>
      <c r="E8" s="7">
        <f>Packages!U5</f>
        <v>46507</v>
      </c>
      <c r="F8" s="61">
        <f>YEAR(E8)</f>
        <v>2027</v>
      </c>
      <c r="G8" s="4">
        <f>D8*(Packages!$F$5-Inputs!$B$5)</f>
        <v>5839600</v>
      </c>
      <c r="H8" s="4">
        <f>G8*Inputs!$B$8</f>
        <v>875940</v>
      </c>
      <c r="I8" s="24">
        <f>G8+H8</f>
        <v>6715540</v>
      </c>
    </row>
    <row r="9" spans="1:9" x14ac:dyDescent="0.25">
      <c r="A9" s="28" t="s">
        <v>386</v>
      </c>
      <c r="B9" s="40" t="s">
        <v>26</v>
      </c>
      <c r="C9" s="11" t="str">
        <f>Inputs!A26&amp;" (development part)"</f>
        <v>M4 End of stabilisation (development part)</v>
      </c>
      <c r="D9" s="62">
        <f>Inputs!B26</f>
        <v>0.1</v>
      </c>
      <c r="E9" s="7">
        <f>Packages!V5</f>
        <v>46599</v>
      </c>
      <c r="F9" s="61">
        <f>YEAR(E9)</f>
        <v>2027</v>
      </c>
      <c r="G9" s="4">
        <f>D9*(Packages!$F$5-Inputs!$B$5)</f>
        <v>1459900</v>
      </c>
      <c r="H9" s="4">
        <f>G9*Inputs!$B$8</f>
        <v>218985</v>
      </c>
      <c r="I9" s="24">
        <f>G9+H9</f>
        <v>1678885</v>
      </c>
    </row>
    <row r="10" spans="1:9" x14ac:dyDescent="0.25">
      <c r="A10" s="28" t="s">
        <v>386</v>
      </c>
      <c r="B10" s="40" t="s">
        <v>41</v>
      </c>
      <c r="C10" s="11" t="str">
        <f>Inputs!A23</f>
        <v>M1 Design &amp; prototype sign-off</v>
      </c>
      <c r="D10" s="62">
        <f>Inputs!B23</f>
        <v>0.2</v>
      </c>
      <c r="E10" s="7">
        <f>Packages!S6</f>
        <v>46538</v>
      </c>
      <c r="F10" s="61">
        <f>YEAR(E10)</f>
        <v>2027</v>
      </c>
      <c r="G10" s="4">
        <f>D10*Packages!$F$6</f>
        <v>3248200</v>
      </c>
      <c r="H10" s="4">
        <f>G10*Inputs!$B$8</f>
        <v>487230</v>
      </c>
      <c r="I10" s="24">
        <f>G10+H10</f>
        <v>3735430</v>
      </c>
    </row>
    <row r="11" spans="1:9" x14ac:dyDescent="0.25">
      <c r="A11" s="28" t="s">
        <v>386</v>
      </c>
      <c r="B11" s="40" t="s">
        <v>41</v>
      </c>
      <c r="C11" s="11" t="str">
        <f>Inputs!A24</f>
        <v>M2 UAT acceptance</v>
      </c>
      <c r="D11" s="62">
        <f>Inputs!B24</f>
        <v>0.3</v>
      </c>
      <c r="E11" s="7">
        <f>Packages!T6</f>
        <v>46599</v>
      </c>
      <c r="F11" s="61">
        <f>YEAR(E11)</f>
        <v>2027</v>
      </c>
      <c r="G11" s="4">
        <f>D11*Packages!$F$6</f>
        <v>4872300</v>
      </c>
      <c r="H11" s="4">
        <f>G11*Inputs!$B$8</f>
        <v>730845</v>
      </c>
      <c r="I11" s="24">
        <f>G11+H11</f>
        <v>5603145</v>
      </c>
    </row>
    <row r="12" spans="1:9" x14ac:dyDescent="0.25">
      <c r="A12" s="28" t="s">
        <v>386</v>
      </c>
      <c r="B12" s="40" t="s">
        <v>41</v>
      </c>
      <c r="C12" s="11" t="str">
        <f>Inputs!A25</f>
        <v>M3 Go-live</v>
      </c>
      <c r="D12" s="62">
        <f>Inputs!B25</f>
        <v>0.4</v>
      </c>
      <c r="E12" s="7">
        <f>Packages!U6</f>
        <v>46630</v>
      </c>
      <c r="F12" s="61">
        <f>YEAR(E12)</f>
        <v>2027</v>
      </c>
      <c r="G12" s="4">
        <f>D12*Packages!$F$6</f>
        <v>6496400</v>
      </c>
      <c r="H12" s="4">
        <f>G12*Inputs!$B$8</f>
        <v>974460</v>
      </c>
      <c r="I12" s="24">
        <f>G12+H12</f>
        <v>7470860</v>
      </c>
    </row>
    <row r="13" spans="1:9" x14ac:dyDescent="0.25">
      <c r="A13" s="28" t="s">
        <v>386</v>
      </c>
      <c r="B13" s="40" t="s">
        <v>41</v>
      </c>
      <c r="C13" s="11" t="str">
        <f>Inputs!A26</f>
        <v>M4 End of stabilisation</v>
      </c>
      <c r="D13" s="62">
        <f>Inputs!B26</f>
        <v>0.1</v>
      </c>
      <c r="E13" s="7">
        <f>Packages!V6</f>
        <v>46721</v>
      </c>
      <c r="F13" s="61">
        <f>YEAR(E13)</f>
        <v>2027</v>
      </c>
      <c r="G13" s="4">
        <f>D13*Packages!$F$6</f>
        <v>1624100</v>
      </c>
      <c r="H13" s="4">
        <f>G13*Inputs!$B$8</f>
        <v>243615</v>
      </c>
      <c r="I13" s="24">
        <f>G13+H13</f>
        <v>1867715</v>
      </c>
    </row>
    <row r="14" spans="1:9" x14ac:dyDescent="0.25">
      <c r="A14" s="28" t="s">
        <v>386</v>
      </c>
      <c r="B14" s="40" t="s">
        <v>50</v>
      </c>
      <c r="C14" s="11" t="str">
        <f>Inputs!A23</f>
        <v>M1 Design &amp; prototype sign-off</v>
      </c>
      <c r="D14" s="62">
        <f>Inputs!B23</f>
        <v>0.2</v>
      </c>
      <c r="E14" s="7">
        <f>Packages!S7</f>
        <v>46660</v>
      </c>
      <c r="F14" s="61">
        <f>YEAR(E14)</f>
        <v>2027</v>
      </c>
      <c r="G14" s="4">
        <f>D14*Packages!$F$7</f>
        <v>2944200</v>
      </c>
      <c r="H14" s="4">
        <f>G14*Inputs!$B$8</f>
        <v>441630</v>
      </c>
      <c r="I14" s="24">
        <f>G14+H14</f>
        <v>3385830</v>
      </c>
    </row>
    <row r="15" spans="1:9" x14ac:dyDescent="0.25">
      <c r="A15" s="28" t="s">
        <v>386</v>
      </c>
      <c r="B15" s="40" t="s">
        <v>50</v>
      </c>
      <c r="C15" s="11" t="str">
        <f>Inputs!A24</f>
        <v>M2 UAT acceptance</v>
      </c>
      <c r="D15" s="62">
        <f>Inputs!B24</f>
        <v>0.3</v>
      </c>
      <c r="E15" s="7">
        <f>Packages!T7</f>
        <v>46721</v>
      </c>
      <c r="F15" s="61">
        <f>YEAR(E15)</f>
        <v>2027</v>
      </c>
      <c r="G15" s="4">
        <f>D15*Packages!$F$7</f>
        <v>4416300</v>
      </c>
      <c r="H15" s="4">
        <f>G15*Inputs!$B$8</f>
        <v>662445</v>
      </c>
      <c r="I15" s="24">
        <f>G15+H15</f>
        <v>5078745</v>
      </c>
    </row>
    <row r="16" spans="1:9" x14ac:dyDescent="0.25">
      <c r="A16" s="28" t="s">
        <v>386</v>
      </c>
      <c r="B16" s="40" t="s">
        <v>50</v>
      </c>
      <c r="C16" s="11" t="str">
        <f>Inputs!A25</f>
        <v>M3 Go-live</v>
      </c>
      <c r="D16" s="62">
        <f>Inputs!B25</f>
        <v>0.4</v>
      </c>
      <c r="E16" s="7">
        <f>Packages!U7</f>
        <v>46721</v>
      </c>
      <c r="F16" s="61">
        <f>YEAR(E16)</f>
        <v>2027</v>
      </c>
      <c r="G16" s="4">
        <f>D16*Packages!$F$7</f>
        <v>5888400</v>
      </c>
      <c r="H16" s="4">
        <f>G16*Inputs!$B$8</f>
        <v>883260</v>
      </c>
      <c r="I16" s="24">
        <f>G16+H16</f>
        <v>6771660</v>
      </c>
    </row>
    <row r="17" spans="1:9" x14ac:dyDescent="0.25">
      <c r="A17" s="28" t="s">
        <v>386</v>
      </c>
      <c r="B17" s="40" t="s">
        <v>50</v>
      </c>
      <c r="C17" s="11" t="str">
        <f>Inputs!A26</f>
        <v>M4 End of stabilisation</v>
      </c>
      <c r="D17" s="62">
        <f>Inputs!B26</f>
        <v>0.1</v>
      </c>
      <c r="E17" s="7">
        <f>Packages!V7</f>
        <v>46812</v>
      </c>
      <c r="F17" s="61">
        <f>YEAR(E17)</f>
        <v>2028</v>
      </c>
      <c r="G17" s="4">
        <f>D17*Packages!$F$7</f>
        <v>1472100</v>
      </c>
      <c r="H17" s="4">
        <f>G17*Inputs!$B$8</f>
        <v>220815</v>
      </c>
      <c r="I17" s="24">
        <f>G17+H17</f>
        <v>1692915</v>
      </c>
    </row>
    <row r="18" spans="1:9" x14ac:dyDescent="0.25">
      <c r="A18" s="28" t="s">
        <v>386</v>
      </c>
      <c r="B18" s="40" t="s">
        <v>64</v>
      </c>
      <c r="C18" s="11" t="str">
        <f>Inputs!A23</f>
        <v>M1 Design &amp; prototype sign-off</v>
      </c>
      <c r="D18" s="62">
        <f>Inputs!B23</f>
        <v>0.2</v>
      </c>
      <c r="E18" s="7">
        <f>Packages!S8</f>
        <v>46783</v>
      </c>
      <c r="F18" s="61">
        <f>YEAR(E18)</f>
        <v>2028</v>
      </c>
      <c r="G18" s="4">
        <f>D18*Packages!$F$8</f>
        <v>3467200</v>
      </c>
      <c r="H18" s="4">
        <f>G18*Inputs!$B$8</f>
        <v>520080</v>
      </c>
      <c r="I18" s="24">
        <f>G18+H18</f>
        <v>3987280</v>
      </c>
    </row>
    <row r="19" spans="1:9" x14ac:dyDescent="0.25">
      <c r="A19" s="28" t="s">
        <v>386</v>
      </c>
      <c r="B19" s="40" t="s">
        <v>64</v>
      </c>
      <c r="C19" s="11" t="str">
        <f>Inputs!A24</f>
        <v>M2 UAT acceptance</v>
      </c>
      <c r="D19" s="62">
        <f>Inputs!B24</f>
        <v>0.3</v>
      </c>
      <c r="E19" s="7">
        <f>Packages!T8</f>
        <v>46904</v>
      </c>
      <c r="F19" s="61">
        <f>YEAR(E19)</f>
        <v>2028</v>
      </c>
      <c r="G19" s="4">
        <f>D19*Packages!$F$8</f>
        <v>5200800</v>
      </c>
      <c r="H19" s="4">
        <f>G19*Inputs!$B$8</f>
        <v>780120</v>
      </c>
      <c r="I19" s="24">
        <f>G19+H19</f>
        <v>5980920</v>
      </c>
    </row>
    <row r="20" spans="1:9" x14ac:dyDescent="0.25">
      <c r="A20" s="28" t="s">
        <v>386</v>
      </c>
      <c r="B20" s="40" t="s">
        <v>64</v>
      </c>
      <c r="C20" s="11" t="str">
        <f>Inputs!A25</f>
        <v>M3 Go-live</v>
      </c>
      <c r="D20" s="62">
        <f>Inputs!B25</f>
        <v>0.4</v>
      </c>
      <c r="E20" s="7">
        <f>Packages!U8</f>
        <v>46934</v>
      </c>
      <c r="F20" s="61">
        <f>YEAR(E20)</f>
        <v>2028</v>
      </c>
      <c r="G20" s="4">
        <f>D20*Packages!$F$8</f>
        <v>6934400</v>
      </c>
      <c r="H20" s="4">
        <f>G20*Inputs!$B$8</f>
        <v>1040160</v>
      </c>
      <c r="I20" s="24">
        <f>G20+H20</f>
        <v>7974560</v>
      </c>
    </row>
    <row r="21" spans="1:9" x14ac:dyDescent="0.25">
      <c r="A21" s="28" t="s">
        <v>386</v>
      </c>
      <c r="B21" s="40" t="s">
        <v>64</v>
      </c>
      <c r="C21" s="11" t="str">
        <f>Inputs!A26</f>
        <v>M4 End of stabilisation</v>
      </c>
      <c r="D21" s="62">
        <f>Inputs!B26</f>
        <v>0.1</v>
      </c>
      <c r="E21" s="7">
        <f>Packages!V8</f>
        <v>47026</v>
      </c>
      <c r="F21" s="61">
        <f>YEAR(E21)</f>
        <v>2028</v>
      </c>
      <c r="G21" s="4">
        <f>D21*Packages!$F$8</f>
        <v>1733600</v>
      </c>
      <c r="H21" s="4">
        <f>G21*Inputs!$B$8</f>
        <v>260040</v>
      </c>
      <c r="I21" s="24">
        <f>G21+H21</f>
        <v>1993640</v>
      </c>
    </row>
    <row r="22" spans="1:9" x14ac:dyDescent="0.25">
      <c r="A22" s="28" t="s">
        <v>386</v>
      </c>
      <c r="B22" s="40" t="s">
        <v>66</v>
      </c>
      <c r="C22" s="11" t="str">
        <f>Inputs!A23</f>
        <v>M1 Design &amp; prototype sign-off</v>
      </c>
      <c r="D22" s="62">
        <f>Inputs!B23</f>
        <v>0.2</v>
      </c>
      <c r="E22" s="7">
        <f>Packages!S9</f>
        <v>46965</v>
      </c>
      <c r="F22" s="61">
        <f>YEAR(E22)</f>
        <v>2028</v>
      </c>
      <c r="G22" s="4">
        <f>D22*Packages!$F$9</f>
        <v>3248200</v>
      </c>
      <c r="H22" s="4">
        <f>G22*Inputs!$B$8</f>
        <v>487230</v>
      </c>
      <c r="I22" s="24">
        <f>G22+H22</f>
        <v>3735430</v>
      </c>
    </row>
    <row r="23" spans="1:9" x14ac:dyDescent="0.25">
      <c r="A23" s="28" t="s">
        <v>386</v>
      </c>
      <c r="B23" s="40" t="s">
        <v>66</v>
      </c>
      <c r="C23" s="11" t="str">
        <f>Inputs!A24</f>
        <v>M2 UAT acceptance</v>
      </c>
      <c r="D23" s="62">
        <f>Inputs!B24</f>
        <v>0.3</v>
      </c>
      <c r="E23" s="7">
        <f>Packages!T9</f>
        <v>47087</v>
      </c>
      <c r="F23" s="61">
        <f>YEAR(E23)</f>
        <v>2028</v>
      </c>
      <c r="G23" s="4">
        <f>D23*Packages!$F$9</f>
        <v>4872300</v>
      </c>
      <c r="H23" s="4">
        <f>G23*Inputs!$B$8</f>
        <v>730845</v>
      </c>
      <c r="I23" s="24">
        <f>G23+H23</f>
        <v>5603145</v>
      </c>
    </row>
    <row r="24" spans="1:9" x14ac:dyDescent="0.25">
      <c r="A24" s="28" t="s">
        <v>386</v>
      </c>
      <c r="B24" s="40" t="s">
        <v>66</v>
      </c>
      <c r="C24" s="11" t="str">
        <f>Inputs!A25</f>
        <v>M3 Go-live</v>
      </c>
      <c r="D24" s="62">
        <f>Inputs!B25</f>
        <v>0.4</v>
      </c>
      <c r="E24" s="7">
        <f>Packages!U9</f>
        <v>47118</v>
      </c>
      <c r="F24" s="61">
        <f>YEAR(E24)</f>
        <v>2028</v>
      </c>
      <c r="G24" s="4">
        <f>D24*Packages!$F$9</f>
        <v>6496400</v>
      </c>
      <c r="H24" s="4">
        <f>G24*Inputs!$B$8</f>
        <v>974460</v>
      </c>
      <c r="I24" s="24">
        <f>G24+H24</f>
        <v>7470860</v>
      </c>
    </row>
    <row r="25" spans="1:9" x14ac:dyDescent="0.25">
      <c r="A25" s="28" t="s">
        <v>386</v>
      </c>
      <c r="B25" s="40" t="s">
        <v>66</v>
      </c>
      <c r="C25" s="11" t="str">
        <f>Inputs!A26</f>
        <v>M4 End of stabilisation</v>
      </c>
      <c r="D25" s="62">
        <f>Inputs!B26</f>
        <v>0.1</v>
      </c>
      <c r="E25" s="7">
        <f>Packages!V9</f>
        <v>47208</v>
      </c>
      <c r="F25" s="61">
        <f>YEAR(E25)</f>
        <v>2029</v>
      </c>
      <c r="G25" s="4">
        <f>D25*Packages!$F$9</f>
        <v>1624100</v>
      </c>
      <c r="H25" s="4">
        <f>G25*Inputs!$B$8</f>
        <v>243615</v>
      </c>
      <c r="I25" s="24">
        <f>G25+H25</f>
        <v>1867715</v>
      </c>
    </row>
    <row r="26" spans="1:9" x14ac:dyDescent="0.25">
      <c r="A26" s="28" t="s">
        <v>386</v>
      </c>
      <c r="B26" s="40" t="s">
        <v>68</v>
      </c>
      <c r="C26" s="11" t="str">
        <f>Inputs!A23</f>
        <v>M1 Design &amp; prototype sign-off</v>
      </c>
      <c r="D26" s="62">
        <f>Inputs!B23</f>
        <v>0.2</v>
      </c>
      <c r="E26" s="7">
        <f>Packages!S10</f>
        <v>47149</v>
      </c>
      <c r="F26" s="61">
        <f>YEAR(E26)</f>
        <v>2029</v>
      </c>
      <c r="G26" s="4">
        <f>D26*Packages!$F$10</f>
        <v>3473400</v>
      </c>
      <c r="H26" s="4">
        <f>G26*Inputs!$B$8</f>
        <v>521010</v>
      </c>
      <c r="I26" s="24">
        <f>G26+H26</f>
        <v>3994410</v>
      </c>
    </row>
    <row r="27" spans="1:9" x14ac:dyDescent="0.25">
      <c r="A27" s="28" t="s">
        <v>386</v>
      </c>
      <c r="B27" s="40" t="s">
        <v>68</v>
      </c>
      <c r="C27" s="11" t="str">
        <f>Inputs!A24</f>
        <v>M2 UAT acceptance</v>
      </c>
      <c r="D27" s="62">
        <f>Inputs!B24</f>
        <v>0.3</v>
      </c>
      <c r="E27" s="7">
        <f>Packages!T10</f>
        <v>47269</v>
      </c>
      <c r="F27" s="61">
        <f>YEAR(E27)</f>
        <v>2029</v>
      </c>
      <c r="G27" s="4">
        <f>D27*Packages!$F$10</f>
        <v>5210100</v>
      </c>
      <c r="H27" s="4">
        <f>G27*Inputs!$B$8</f>
        <v>781515</v>
      </c>
      <c r="I27" s="24">
        <f>G27+H27</f>
        <v>5991615</v>
      </c>
    </row>
    <row r="28" spans="1:9" x14ac:dyDescent="0.25">
      <c r="A28" s="28" t="s">
        <v>386</v>
      </c>
      <c r="B28" s="40" t="s">
        <v>68</v>
      </c>
      <c r="C28" s="11" t="str">
        <f>Inputs!A25</f>
        <v>M3 Go-live</v>
      </c>
      <c r="D28" s="62">
        <f>Inputs!B25</f>
        <v>0.4</v>
      </c>
      <c r="E28" s="7">
        <f>Packages!U10</f>
        <v>47299</v>
      </c>
      <c r="F28" s="61">
        <f>YEAR(E28)</f>
        <v>2029</v>
      </c>
      <c r="G28" s="4">
        <f>D28*Packages!$F$10</f>
        <v>6946800</v>
      </c>
      <c r="H28" s="4">
        <f>G28*Inputs!$B$8</f>
        <v>1042020</v>
      </c>
      <c r="I28" s="24">
        <f>G28+H28</f>
        <v>7988820</v>
      </c>
    </row>
    <row r="29" spans="1:9" x14ac:dyDescent="0.25">
      <c r="A29" s="28" t="s">
        <v>386</v>
      </c>
      <c r="B29" s="40" t="s">
        <v>68</v>
      </c>
      <c r="C29" s="11" t="str">
        <f>Inputs!A26</f>
        <v>M4 End of stabilisation</v>
      </c>
      <c r="D29" s="62">
        <f>Inputs!B26</f>
        <v>0.1</v>
      </c>
      <c r="E29" s="7">
        <f>Packages!V10</f>
        <v>47391</v>
      </c>
      <c r="F29" s="61">
        <f>YEAR(E29)</f>
        <v>2029</v>
      </c>
      <c r="G29" s="4">
        <f>D29*Packages!$F$10</f>
        <v>1736700</v>
      </c>
      <c r="H29" s="4">
        <f>G29*Inputs!$B$8</f>
        <v>260505</v>
      </c>
      <c r="I29" s="24">
        <f>G29+H29</f>
        <v>1997205</v>
      </c>
    </row>
    <row r="30" spans="1:9" x14ac:dyDescent="0.25">
      <c r="A30" s="28" t="s">
        <v>386</v>
      </c>
      <c r="B30" s="40" t="s">
        <v>70</v>
      </c>
      <c r="C30" s="11" t="str">
        <f>Inputs!A23</f>
        <v>M1 Design &amp; prototype sign-off</v>
      </c>
      <c r="D30" s="62">
        <f>Inputs!B23</f>
        <v>0.2</v>
      </c>
      <c r="E30" s="7">
        <f>Packages!S11</f>
        <v>47330</v>
      </c>
      <c r="F30" s="61">
        <f>YEAR(E30)</f>
        <v>2029</v>
      </c>
      <c r="G30" s="4">
        <f>D30*Packages!$F$11</f>
        <v>2707000</v>
      </c>
      <c r="H30" s="4">
        <f>G30*Inputs!$B$8</f>
        <v>406050</v>
      </c>
      <c r="I30" s="24">
        <f>G30+H30</f>
        <v>3113050</v>
      </c>
    </row>
    <row r="31" spans="1:9" x14ac:dyDescent="0.25">
      <c r="A31" s="28" t="s">
        <v>386</v>
      </c>
      <c r="B31" s="40" t="s">
        <v>70</v>
      </c>
      <c r="C31" s="11" t="str">
        <f>Inputs!A24</f>
        <v>M2 UAT acceptance</v>
      </c>
      <c r="D31" s="62">
        <f>Inputs!B24</f>
        <v>0.3</v>
      </c>
      <c r="E31" s="7">
        <f>Packages!T11</f>
        <v>47452</v>
      </c>
      <c r="F31" s="61">
        <f>YEAR(E31)</f>
        <v>2029</v>
      </c>
      <c r="G31" s="4">
        <f>D31*Packages!$F$11</f>
        <v>4060500</v>
      </c>
      <c r="H31" s="4">
        <f>G31*Inputs!$B$8</f>
        <v>609075</v>
      </c>
      <c r="I31" s="24">
        <f>G31+H31</f>
        <v>4669575</v>
      </c>
    </row>
    <row r="32" spans="1:9" x14ac:dyDescent="0.25">
      <c r="A32" s="28" t="s">
        <v>386</v>
      </c>
      <c r="B32" s="40" t="s">
        <v>70</v>
      </c>
      <c r="C32" s="11" t="str">
        <f>Inputs!A25</f>
        <v>M3 Go-live</v>
      </c>
      <c r="D32" s="62">
        <f>Inputs!B25</f>
        <v>0.4</v>
      </c>
      <c r="E32" s="7">
        <f>Packages!U11</f>
        <v>47483</v>
      </c>
      <c r="F32" s="61">
        <f>YEAR(E32)</f>
        <v>2029</v>
      </c>
      <c r="G32" s="4">
        <f>D32*Packages!$F$11</f>
        <v>5414000</v>
      </c>
      <c r="H32" s="4">
        <f>G32*Inputs!$B$8</f>
        <v>812100</v>
      </c>
      <c r="I32" s="24">
        <f>G32+H32</f>
        <v>6226100</v>
      </c>
    </row>
    <row r="33" spans="1:9" x14ac:dyDescent="0.25">
      <c r="A33" s="28" t="s">
        <v>386</v>
      </c>
      <c r="B33" s="40" t="s">
        <v>70</v>
      </c>
      <c r="C33" s="11" t="str">
        <f>Inputs!A26</f>
        <v>M4 End of stabilisation</v>
      </c>
      <c r="D33" s="62">
        <f>Inputs!B26</f>
        <v>0.1</v>
      </c>
      <c r="E33" s="7">
        <f>Packages!V11</f>
        <v>47573</v>
      </c>
      <c r="F33" s="61">
        <f>YEAR(E33)</f>
        <v>2030</v>
      </c>
      <c r="G33" s="4">
        <f>D33*Packages!$F$11</f>
        <v>1353500</v>
      </c>
      <c r="H33" s="4">
        <f>G33*Inputs!$B$8</f>
        <v>203025</v>
      </c>
      <c r="I33" s="24">
        <f>G33+H33</f>
        <v>1556525</v>
      </c>
    </row>
    <row r="34" spans="1:9" x14ac:dyDescent="0.25">
      <c r="A34" s="28" t="s">
        <v>388</v>
      </c>
      <c r="B34" s="40" t="s">
        <v>389</v>
      </c>
      <c r="C34" s="28" t="str">
        <f>"Maintenance tranche 1 (" &amp; Inputs!$B$12 &amp; " months, 33 services)"</f>
        <v>Maintenance tranche 1 (3 months, 33 services)</v>
      </c>
      <c r="D34" s="62">
        <f>Inputs!$B$12/Inputs!$B$11</f>
        <v>0.125</v>
      </c>
      <c r="E34" s="7">
        <f>EOMONTH(Inputs!$B$13,0*Inputs!$B$12+Inputs!$B$12-1)</f>
        <v>47573</v>
      </c>
      <c r="F34" s="61">
        <f>YEAR(E34)</f>
        <v>2030</v>
      </c>
      <c r="G34" s="4">
        <f>IF(0*Inputs!$B$12&lt;Inputs!$B$11,D34*Inputs!$B$10,0)</f>
        <v>9405000</v>
      </c>
      <c r="H34" s="4">
        <f>G34*Inputs!$B$8</f>
        <v>1410750</v>
      </c>
      <c r="I34" s="24">
        <f>G34+H34</f>
        <v>10815750</v>
      </c>
    </row>
    <row r="35" spans="1:9" x14ac:dyDescent="0.25">
      <c r="A35" s="28" t="s">
        <v>388</v>
      </c>
      <c r="B35" s="40" t="s">
        <v>389</v>
      </c>
      <c r="C35" s="28" t="str">
        <f>"Maintenance tranche 2 (" &amp; Inputs!$B$12 &amp; " months, 33 services)"</f>
        <v>Maintenance tranche 2 (3 months, 33 services)</v>
      </c>
      <c r="D35" s="62">
        <f>Inputs!$B$12/Inputs!$B$11</f>
        <v>0.125</v>
      </c>
      <c r="E35" s="7">
        <f>EOMONTH(Inputs!$B$13,1*Inputs!$B$12+Inputs!$B$12-1)</f>
        <v>47664</v>
      </c>
      <c r="F35" s="61">
        <f>YEAR(E35)</f>
        <v>2030</v>
      </c>
      <c r="G35" s="4">
        <f>IF(1*Inputs!$B$12&lt;Inputs!$B$11,D35*Inputs!$B$10,0)</f>
        <v>9405000</v>
      </c>
      <c r="H35" s="4">
        <f>G35*Inputs!$B$8</f>
        <v>1410750</v>
      </c>
      <c r="I35" s="24">
        <f>G35+H35</f>
        <v>10815750</v>
      </c>
    </row>
    <row r="36" spans="1:9" x14ac:dyDescent="0.25">
      <c r="A36" s="28" t="s">
        <v>388</v>
      </c>
      <c r="B36" s="40" t="s">
        <v>389</v>
      </c>
      <c r="C36" s="28" t="str">
        <f>"Maintenance tranche 3 (" &amp; Inputs!$B$12 &amp; " months, 33 services)"</f>
        <v>Maintenance tranche 3 (3 months, 33 services)</v>
      </c>
      <c r="D36" s="62">
        <f>Inputs!$B$12/Inputs!$B$11</f>
        <v>0.125</v>
      </c>
      <c r="E36" s="7">
        <f>EOMONTH(Inputs!$B$13,2*Inputs!$B$12+Inputs!$B$12-1)</f>
        <v>47756</v>
      </c>
      <c r="F36" s="61">
        <f>YEAR(E36)</f>
        <v>2030</v>
      </c>
      <c r="G36" s="4">
        <f>IF(2*Inputs!$B$12&lt;Inputs!$B$11,D36*Inputs!$B$10,0)</f>
        <v>9405000</v>
      </c>
      <c r="H36" s="4">
        <f>G36*Inputs!$B$8</f>
        <v>1410750</v>
      </c>
      <c r="I36" s="24">
        <f>G36+H36</f>
        <v>10815750</v>
      </c>
    </row>
    <row r="37" spans="1:9" x14ac:dyDescent="0.25">
      <c r="A37" s="28" t="s">
        <v>388</v>
      </c>
      <c r="B37" s="40" t="s">
        <v>389</v>
      </c>
      <c r="C37" s="28" t="str">
        <f>"Maintenance tranche 4 (" &amp; Inputs!$B$12 &amp; " months, 33 services)"</f>
        <v>Maintenance tranche 4 (3 months, 33 services)</v>
      </c>
      <c r="D37" s="62">
        <f>Inputs!$B$12/Inputs!$B$11</f>
        <v>0.125</v>
      </c>
      <c r="E37" s="7">
        <f>EOMONTH(Inputs!$B$13,3*Inputs!$B$12+Inputs!$B$12-1)</f>
        <v>47848</v>
      </c>
      <c r="F37" s="61">
        <f>YEAR(E37)</f>
        <v>2030</v>
      </c>
      <c r="G37" s="4">
        <f>IF(3*Inputs!$B$12&lt;Inputs!$B$11,D37*Inputs!$B$10,0)</f>
        <v>9405000</v>
      </c>
      <c r="H37" s="4">
        <f>G37*Inputs!$B$8</f>
        <v>1410750</v>
      </c>
      <c r="I37" s="24">
        <f>G37+H37</f>
        <v>10815750</v>
      </c>
    </row>
    <row r="38" spans="1:9" x14ac:dyDescent="0.25">
      <c r="A38" s="28" t="s">
        <v>388</v>
      </c>
      <c r="B38" s="40" t="s">
        <v>389</v>
      </c>
      <c r="C38" s="28" t="str">
        <f>"Maintenance tranche 5 (" &amp; Inputs!$B$12 &amp; " months, 33 services)"</f>
        <v>Maintenance tranche 5 (3 months, 33 services)</v>
      </c>
      <c r="D38" s="62">
        <f>Inputs!$B$12/Inputs!$B$11</f>
        <v>0.125</v>
      </c>
      <c r="E38" s="7">
        <f>EOMONTH(Inputs!$B$13,4*Inputs!$B$12+Inputs!$B$12-1)</f>
        <v>47938</v>
      </c>
      <c r="F38" s="61">
        <f>YEAR(E38)</f>
        <v>2031</v>
      </c>
      <c r="G38" s="4">
        <f>IF(4*Inputs!$B$12&lt;Inputs!$B$11,D38*Inputs!$B$10,0)</f>
        <v>9405000</v>
      </c>
      <c r="H38" s="4">
        <f>G38*Inputs!$B$8</f>
        <v>1410750</v>
      </c>
      <c r="I38" s="24">
        <f>G38+H38</f>
        <v>10815750</v>
      </c>
    </row>
    <row r="39" spans="1:9" x14ac:dyDescent="0.25">
      <c r="A39" s="28" t="s">
        <v>388</v>
      </c>
      <c r="B39" s="40" t="s">
        <v>389</v>
      </c>
      <c r="C39" s="28" t="str">
        <f>"Maintenance tranche 6 (" &amp; Inputs!$B$12 &amp; " months, 33 services)"</f>
        <v>Maintenance tranche 6 (3 months, 33 services)</v>
      </c>
      <c r="D39" s="62">
        <f>Inputs!$B$12/Inputs!$B$11</f>
        <v>0.125</v>
      </c>
      <c r="E39" s="7">
        <f>EOMONTH(Inputs!$B$13,5*Inputs!$B$12+Inputs!$B$12-1)</f>
        <v>48029</v>
      </c>
      <c r="F39" s="61">
        <f>YEAR(E39)</f>
        <v>2031</v>
      </c>
      <c r="G39" s="4">
        <f>IF(5*Inputs!$B$12&lt;Inputs!$B$11,D39*Inputs!$B$10,0)</f>
        <v>9405000</v>
      </c>
      <c r="H39" s="4">
        <f>G39*Inputs!$B$8</f>
        <v>1410750</v>
      </c>
      <c r="I39" s="24">
        <f>G39+H39</f>
        <v>10815750</v>
      </c>
    </row>
    <row r="40" spans="1:9" x14ac:dyDescent="0.25">
      <c r="A40" s="28" t="s">
        <v>388</v>
      </c>
      <c r="B40" s="40" t="s">
        <v>389</v>
      </c>
      <c r="C40" s="28" t="str">
        <f>"Maintenance tranche 7 (" &amp; Inputs!$B$12 &amp; " months, 33 services)"</f>
        <v>Maintenance tranche 7 (3 months, 33 services)</v>
      </c>
      <c r="D40" s="62">
        <f>Inputs!$B$12/Inputs!$B$11</f>
        <v>0.125</v>
      </c>
      <c r="E40" s="7">
        <f>EOMONTH(Inputs!$B$13,6*Inputs!$B$12+Inputs!$B$12-1)</f>
        <v>48121</v>
      </c>
      <c r="F40" s="61">
        <f>YEAR(E40)</f>
        <v>2031</v>
      </c>
      <c r="G40" s="4">
        <f>IF(6*Inputs!$B$12&lt;Inputs!$B$11,D40*Inputs!$B$10,0)</f>
        <v>9405000</v>
      </c>
      <c r="H40" s="4">
        <f>G40*Inputs!$B$8</f>
        <v>1410750</v>
      </c>
      <c r="I40" s="24">
        <f>G40+H40</f>
        <v>10815750</v>
      </c>
    </row>
    <row r="41" spans="1:9" x14ac:dyDescent="0.25">
      <c r="A41" s="28" t="s">
        <v>388</v>
      </c>
      <c r="B41" s="40" t="s">
        <v>389</v>
      </c>
      <c r="C41" s="28" t="str">
        <f>"Maintenance tranche 8 (" &amp; Inputs!$B$12 &amp; " months, 33 services)"</f>
        <v>Maintenance tranche 8 (3 months, 33 services)</v>
      </c>
      <c r="D41" s="62">
        <f>Inputs!$B$12/Inputs!$B$11</f>
        <v>0.125</v>
      </c>
      <c r="E41" s="7">
        <f>EOMONTH(Inputs!$B$13,7*Inputs!$B$12+Inputs!$B$12-1)</f>
        <v>48213</v>
      </c>
      <c r="F41" s="61">
        <f>YEAR(E41)</f>
        <v>2031</v>
      </c>
      <c r="G41" s="4">
        <f>IF(7*Inputs!$B$12&lt;Inputs!$B$11,D41*Inputs!$B$10,0)</f>
        <v>9405000</v>
      </c>
      <c r="H41" s="4">
        <f>G41*Inputs!$B$8</f>
        <v>1410750</v>
      </c>
      <c r="I41" s="24">
        <f>G41+H41</f>
        <v>10815750</v>
      </c>
    </row>
    <row r="42" spans="1:9" x14ac:dyDescent="0.25">
      <c r="C42" s="15" t="s">
        <v>338</v>
      </c>
      <c r="G42" s="16">
        <f>SUM(G5:G41)</f>
        <v>186905000</v>
      </c>
      <c r="H42" s="16">
        <f>SUM(H5:H41)</f>
        <v>28035750</v>
      </c>
      <c r="I42" s="16">
        <f>SUM(I5:I41)</f>
        <v>214940750</v>
      </c>
    </row>
    <row r="43" spans="1:7" x14ac:dyDescent="0.25">
      <c r="C43" s="3" t="s">
        <v>390</v>
      </c>
      <c r="G43" s="48">
        <f>SUMIF(A5:A41,"Rollout",G5:G41)</f>
        <v>111665000</v>
      </c>
    </row>
    <row r="44" spans="1:7" x14ac:dyDescent="0.25">
      <c r="C44" s="3" t="s">
        <v>391</v>
      </c>
      <c r="G44" s="48">
        <f>SUMIF(A5:A41,"Maintenance",G5:G41)</f>
        <v>75240000</v>
      </c>
    </row>
    <row r="45" ht="26.4" customHeight="1" spans="1:7" x14ac:dyDescent="0.25">
      <c r="C45" s="3" t="s">
        <v>392</v>
      </c>
      <c r="G45" s="3" t="str">
        <f>IF(AND(ABS(G43-Inputs!B4)&lt;1,ABS(G44-Inputs!B10)&lt;1),"OK","ERROR")</f>
        <v>OK</v>
      </c>
    </row>
    <row r="46" ht="26.4" customHeight="1" spans="1:7" x14ac:dyDescent="0.25">
      <c r="C46" s="3" t="s">
        <v>393</v>
      </c>
      <c r="G46" s="3" t="str">
        <f>IF(IF(Inputs!$B$9="Y",MAX(I34:I41),MAX(G34:G41))&lt;=Inputs!B7,"OK","EXCEEDS")</f>
        <v>OK</v>
      </c>
    </row>
  </sheetData>
  <pageMargins left="0.75" right="0.75" top="1" bottom="1" header="0.5" footer="0.5"/>
  <pageSetup orientation="landscape"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showGridLines="0" zoomScale="100" zoomScaleNormal="100"/>
  </sheetViews>
  <sheetFormatPr defaultRowHeight="14.4" outlineLevelRow="0" outlineLevelCol="0" x14ac:dyDescent="0.3" customHeight="1"/>
  <cols>
    <col min="1" max="1" width="16" customWidth="1"/>
    <col min="2" max="2" width="8" customWidth="1"/>
    <col min="3" max="3" width="12" customWidth="1"/>
    <col min="4" max="4" width="16" customWidth="1"/>
    <col min="6" max="6" width="16" customWidth="1"/>
  </cols>
  <sheetData>
    <row r="1" ht="17.4" customHeight="1" spans="1:1" x14ac:dyDescent="0.25">
      <c r="A1" s="1" t="s">
        <v>394</v>
      </c>
    </row>
    <row r="2" spans="1:1" x14ac:dyDescent="0.25">
      <c r="A2" s="30" t="s">
        <v>395</v>
      </c>
    </row>
    <row r="4" ht="26.4" customHeight="1" spans="1:6" x14ac:dyDescent="0.25">
      <c r="A4" s="9" t="s">
        <v>396</v>
      </c>
      <c r="B4" s="9" t="s">
        <v>33</v>
      </c>
      <c r="C4" s="9" t="s">
        <v>397</v>
      </c>
      <c r="D4" s="9" t="s">
        <v>398</v>
      </c>
      <c r="E4" s="9" t="s">
        <v>399</v>
      </c>
      <c r="F4" s="9" t="s">
        <v>400</v>
      </c>
    </row>
    <row r="5" spans="1:6" x14ac:dyDescent="0.25">
      <c r="A5" s="28" t="s">
        <v>401</v>
      </c>
      <c r="B5" s="51">
        <v>2026</v>
      </c>
      <c r="C5" s="51">
        <v>5</v>
      </c>
      <c r="D5" s="31">
        <v>65000</v>
      </c>
      <c r="E5" s="51">
        <v>5</v>
      </c>
      <c r="F5" s="24">
        <f>C5*D5*E5</f>
        <v>1625000</v>
      </c>
    </row>
    <row r="6" spans="1:6" x14ac:dyDescent="0.25">
      <c r="A6" s="28" t="s">
        <v>402</v>
      </c>
      <c r="B6" s="51">
        <v>2027</v>
      </c>
      <c r="C6" s="51">
        <v>5</v>
      </c>
      <c r="D6" s="31">
        <v>180000</v>
      </c>
      <c r="E6" s="51">
        <v>3</v>
      </c>
      <c r="F6" s="24">
        <f>C6*D6*E6</f>
        <v>2700000</v>
      </c>
    </row>
    <row r="7" spans="1:6" x14ac:dyDescent="0.25">
      <c r="A7" s="28" t="s">
        <v>403</v>
      </c>
      <c r="B7" s="51">
        <v>2027</v>
      </c>
      <c r="C7" s="51">
        <v>8</v>
      </c>
      <c r="D7" s="31">
        <v>180000</v>
      </c>
      <c r="E7" s="51">
        <v>3</v>
      </c>
      <c r="F7" s="24">
        <f>C7*D7*E7</f>
        <v>4320000</v>
      </c>
    </row>
    <row r="8" spans="1:6" x14ac:dyDescent="0.25">
      <c r="A8" s="28" t="s">
        <v>404</v>
      </c>
      <c r="B8" s="51">
        <v>2027</v>
      </c>
      <c r="C8" s="51">
        <v>11</v>
      </c>
      <c r="D8" s="31">
        <v>180000</v>
      </c>
      <c r="E8" s="51">
        <v>3</v>
      </c>
      <c r="F8" s="24">
        <f>C8*D8*E8</f>
        <v>5940000</v>
      </c>
    </row>
    <row r="9" spans="1:6" x14ac:dyDescent="0.25">
      <c r="A9" s="28" t="s">
        <v>405</v>
      </c>
      <c r="B9" s="51">
        <v>2027</v>
      </c>
      <c r="C9" s="51">
        <v>14</v>
      </c>
      <c r="D9" s="31">
        <v>180000</v>
      </c>
      <c r="E9" s="51">
        <v>3</v>
      </c>
      <c r="F9" s="24">
        <f>C9*D9*E9</f>
        <v>7560000</v>
      </c>
    </row>
    <row r="10" spans="1:6" x14ac:dyDescent="0.25">
      <c r="A10" s="28" t="s">
        <v>406</v>
      </c>
      <c r="B10" s="51">
        <v>2028</v>
      </c>
      <c r="C10" s="51">
        <v>17</v>
      </c>
      <c r="D10" s="31">
        <v>155000</v>
      </c>
      <c r="E10" s="51">
        <v>3</v>
      </c>
      <c r="F10" s="24">
        <f>C10*D10*E10</f>
        <v>7905000</v>
      </c>
    </row>
    <row r="11" spans="1:6" x14ac:dyDescent="0.25">
      <c r="A11" s="28" t="s">
        <v>407</v>
      </c>
      <c r="B11" s="51">
        <v>2028</v>
      </c>
      <c r="C11" s="51">
        <v>20</v>
      </c>
      <c r="D11" s="31">
        <v>155000</v>
      </c>
      <c r="E11" s="51">
        <v>3</v>
      </c>
      <c r="F11" s="24">
        <f>C11*D11*E11</f>
        <v>9300000</v>
      </c>
    </row>
    <row r="12" spans="1:6" x14ac:dyDescent="0.25">
      <c r="A12" s="28" t="s">
        <v>408</v>
      </c>
      <c r="B12" s="51">
        <v>2028</v>
      </c>
      <c r="C12" s="51">
        <v>23</v>
      </c>
      <c r="D12" s="31">
        <v>155000</v>
      </c>
      <c r="E12" s="51">
        <v>3</v>
      </c>
      <c r="F12" s="24">
        <f>C12*D12*E12</f>
        <v>10695000</v>
      </c>
    </row>
    <row r="13" spans="1:6" x14ac:dyDescent="0.25">
      <c r="A13" s="28" t="s">
        <v>409</v>
      </c>
      <c r="B13" s="51">
        <v>2028</v>
      </c>
      <c r="C13" s="51">
        <v>26</v>
      </c>
      <c r="D13" s="31">
        <v>155000</v>
      </c>
      <c r="E13" s="51">
        <v>3</v>
      </c>
      <c r="F13" s="24">
        <f>C13*D13*E13</f>
        <v>12090000</v>
      </c>
    </row>
    <row r="14" spans="1:6" x14ac:dyDescent="0.25">
      <c r="A14" s="28" t="s">
        <v>410</v>
      </c>
      <c r="B14" s="51">
        <v>2029</v>
      </c>
      <c r="C14" s="51">
        <v>29</v>
      </c>
      <c r="D14" s="31">
        <v>130000</v>
      </c>
      <c r="E14" s="51">
        <v>3</v>
      </c>
      <c r="F14" s="24">
        <f>C14*D14*E14</f>
        <v>11310000</v>
      </c>
    </row>
    <row r="15" spans="1:6" x14ac:dyDescent="0.25">
      <c r="A15" s="28" t="s">
        <v>411</v>
      </c>
      <c r="B15" s="51">
        <v>2029</v>
      </c>
      <c r="C15" s="51">
        <v>32</v>
      </c>
      <c r="D15" s="31">
        <v>130000</v>
      </c>
      <c r="E15" s="51">
        <v>3</v>
      </c>
      <c r="F15" s="24">
        <f>C15*D15*E15</f>
        <v>12480000</v>
      </c>
    </row>
    <row r="16" spans="1:6" x14ac:dyDescent="0.25">
      <c r="A16" s="28" t="s">
        <v>412</v>
      </c>
      <c r="B16" s="51">
        <v>2029</v>
      </c>
      <c r="C16" s="51">
        <v>33</v>
      </c>
      <c r="D16" s="31">
        <v>130000</v>
      </c>
      <c r="E16" s="51">
        <v>3</v>
      </c>
      <c r="F16" s="24">
        <f>C16*D16*E16</f>
        <v>12870000</v>
      </c>
    </row>
    <row r="17" spans="1:6" x14ac:dyDescent="0.25">
      <c r="A17" s="28" t="s">
        <v>413</v>
      </c>
      <c r="B17" s="51">
        <v>2029</v>
      </c>
      <c r="C17" s="51">
        <v>33</v>
      </c>
      <c r="D17" s="31">
        <v>130000</v>
      </c>
      <c r="E17" s="51">
        <v>3</v>
      </c>
      <c r="F17" s="24">
        <f>C17*D17*E17</f>
        <v>12870000</v>
      </c>
    </row>
    <row r="18" ht="26.4" customHeight="1" spans="1:6" x14ac:dyDescent="0.25">
      <c r="A18" s="28" t="s">
        <v>414</v>
      </c>
      <c r="B18" s="51">
        <v>2030</v>
      </c>
      <c r="C18" s="51">
        <v>33</v>
      </c>
      <c r="D18" s="31">
        <v>95000</v>
      </c>
      <c r="E18" s="51">
        <v>12</v>
      </c>
      <c r="F18" s="24">
        <f>C18*D18*E18</f>
        <v>37620000</v>
      </c>
    </row>
    <row r="19" ht="26.4" customHeight="1" spans="1:6" x14ac:dyDescent="0.25">
      <c r="A19" s="28" t="s">
        <v>415</v>
      </c>
      <c r="B19" s="51">
        <v>2031</v>
      </c>
      <c r="C19" s="51">
        <v>33</v>
      </c>
      <c r="D19" s="31">
        <v>95000</v>
      </c>
      <c r="E19" s="51">
        <v>12</v>
      </c>
      <c r="F19" s="24">
        <f>C19*D19*E19</f>
        <v>37620000</v>
      </c>
    </row>
    <row r="20" spans="1:6" x14ac:dyDescent="0.25">
      <c r="A20" s="15" t="s">
        <v>416</v>
      </c>
      <c r="F20" s="16">
        <f>SUM(F5:F17)</f>
        <v>111665000</v>
      </c>
    </row>
    <row r="21" ht="26.4" customHeight="1" spans="1:6" x14ac:dyDescent="0.25">
      <c r="A21" s="15" t="s">
        <v>417</v>
      </c>
      <c r="F21" s="16">
        <f>SUM(F18:F19)</f>
        <v>75240000</v>
      </c>
    </row>
    <row r="22" spans="1:6" x14ac:dyDescent="0.25">
      <c r="A22" s="15" t="s">
        <v>418</v>
      </c>
      <c r="F22" s="16">
        <f>F20+F21</f>
        <v>186905000</v>
      </c>
    </row>
    <row r="23" ht="52.8" customHeight="1" spans="1:6" x14ac:dyDescent="0.25">
      <c r="A23" s="3" t="s">
        <v>419</v>
      </c>
      <c r="F23" s="3" t="str">
        <f>IF(AND(F20=Inputs!B4,F21=Inputs!B10),"OK","ERROR")</f>
        <v>OK</v>
      </c>
    </row>
  </sheetData>
  <pageMargins left="0.75" right="0.75" top="1" bottom="1" header="0.5" footer="0.5"/>
  <pageSetup orientation="landscape"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O12"/>
  <sheetViews>
    <sheetView workbookViewId="0" showGridLines="0" zoomScale="100" zoomScaleNormal="100">
      <pane xSplit="2" ySplit="4" topLeftCell="C5" activePane="bottomRight" state="frozen"/>
      <selection pane="bottomRight"/>
    </sheetView>
  </sheetViews>
  <sheetFormatPr defaultRowHeight="14.4" outlineLevelRow="0" outlineLevelCol="0" x14ac:dyDescent="0.3" customHeight="1"/>
  <cols>
    <col min="1" max="1" width="8" customWidth="1"/>
    <col min="2" max="2" width="44" customWidth="1"/>
    <col min="3" max="41" width="4.21875" customWidth="1"/>
  </cols>
  <sheetData>
    <row r="1" ht="17.4" customHeight="1" spans="1:1" x14ac:dyDescent="0.25">
      <c r="A1" s="1" t="s">
        <v>420</v>
      </c>
    </row>
    <row r="2" spans="1:1" x14ac:dyDescent="0.25">
      <c r="A2" s="30" t="s">
        <v>421</v>
      </c>
    </row>
    <row r="4" ht="43.95" customHeight="1" spans="1:41" x14ac:dyDescent="0.25">
      <c r="A4" s="9" t="s">
        <v>10</v>
      </c>
      <c r="B4" s="9" t="s">
        <v>11</v>
      </c>
      <c r="C4" s="63">
        <v>46388</v>
      </c>
      <c r="D4" s="63">
        <v>46419</v>
      </c>
      <c r="E4" s="63">
        <v>46447</v>
      </c>
      <c r="F4" s="63">
        <v>46478</v>
      </c>
      <c r="G4" s="63">
        <v>46508</v>
      </c>
      <c r="H4" s="63">
        <v>46539</v>
      </c>
      <c r="I4" s="63">
        <v>46569</v>
      </c>
      <c r="J4" s="63">
        <v>46600</v>
      </c>
      <c r="K4" s="63">
        <v>46631</v>
      </c>
      <c r="L4" s="63">
        <v>46661</v>
      </c>
      <c r="M4" s="63">
        <v>46692</v>
      </c>
      <c r="N4" s="63">
        <v>46722</v>
      </c>
      <c r="O4" s="63">
        <v>46753</v>
      </c>
      <c r="P4" s="63">
        <v>46784</v>
      </c>
      <c r="Q4" s="63">
        <v>46813</v>
      </c>
      <c r="R4" s="63">
        <v>46844</v>
      </c>
      <c r="S4" s="63">
        <v>46874</v>
      </c>
      <c r="T4" s="63">
        <v>46905</v>
      </c>
      <c r="U4" s="63">
        <v>46935</v>
      </c>
      <c r="V4" s="63">
        <v>46966</v>
      </c>
      <c r="W4" s="63">
        <v>46997</v>
      </c>
      <c r="X4" s="63">
        <v>47027</v>
      </c>
      <c r="Y4" s="63">
        <v>47058</v>
      </c>
      <c r="Z4" s="63">
        <v>47088</v>
      </c>
      <c r="AA4" s="63">
        <v>47119</v>
      </c>
      <c r="AB4" s="63">
        <v>47150</v>
      </c>
      <c r="AC4" s="63">
        <v>47178</v>
      </c>
      <c r="AD4" s="63">
        <v>47209</v>
      </c>
      <c r="AE4" s="63">
        <v>47239</v>
      </c>
      <c r="AF4" s="63">
        <v>47270</v>
      </c>
      <c r="AG4" s="63">
        <v>47300</v>
      </c>
      <c r="AH4" s="63">
        <v>47331</v>
      </c>
      <c r="AI4" s="63">
        <v>47362</v>
      </c>
      <c r="AJ4" s="63">
        <v>47392</v>
      </c>
      <c r="AK4" s="63">
        <v>47423</v>
      </c>
      <c r="AL4" s="63">
        <v>47453</v>
      </c>
      <c r="AM4" s="63">
        <v>47484</v>
      </c>
      <c r="AN4" s="63">
        <v>47515</v>
      </c>
      <c r="AO4" s="63">
        <v>47543</v>
      </c>
    </row>
    <row r="5" ht="30" customHeight="1" spans="1:41" x14ac:dyDescent="0.25">
      <c r="A5" s="10" t="str">
        <f>Packages!A5</f>
        <v>WP1</v>
      </c>
      <c r="B5" s="11" t="str">
        <f>Packages!B5</f>
        <v>BSTI 2.0 transformation (phase 1): operation &amp; maintenance of the 5 live services from Aug 2026 + total restructuring: common platform (portal, SSO, 23-office organogram, shared engines, data migration) and re-platforming of HRM &amp; Leave, Payroll, Standards (BDS) sale, CM new and PCR (new, renewal, brand inclusion)</v>
      </c>
      <c r="C5" s="64" t="str">
        <f>IF(C$4&lt;Packages!$K$5,"",IF(EOMONTH(C$4,0)=Packages!$U$5,"G",IF(C$4&lt;=EOMONTH(Packages!$K$5,Packages!$L$5-1),"D",IF(C$4&lt;=EOMONTH(Packages!$K$5,Packages!$L$5+Packages!$M$5-1),"B",IF(C$4&lt;=EOMONTH(Packages!$K$5,Packages!$L$5+Packages!$M$5+Packages!$N$5-1),"U",IF(C$4&lt;=Packages!$U$5,"G",IF(C$4&lt;=Packages!$V$5,"S","")))))))</f>
        <v>D</v>
      </c>
      <c r="D5" s="64" t="str">
        <f>IF(D$4&lt;Packages!$K$5,"",IF(EOMONTH(D$4,0)=Packages!$U$5,"G",IF(D$4&lt;=EOMONTH(Packages!$K$5,Packages!$L$5-1),"D",IF(D$4&lt;=EOMONTH(Packages!$K$5,Packages!$L$5+Packages!$M$5-1),"B",IF(D$4&lt;=EOMONTH(Packages!$K$5,Packages!$L$5+Packages!$M$5+Packages!$N$5-1),"U",IF(D$4&lt;=Packages!$U$5,"G",IF(D$4&lt;=Packages!$V$5,"S","")))))))</f>
        <v>B</v>
      </c>
      <c r="E5" s="64" t="str">
        <f>IF(E$4&lt;Packages!$K$5,"",IF(EOMONTH(E$4,0)=Packages!$U$5,"G",IF(E$4&lt;=EOMONTH(Packages!$K$5,Packages!$L$5-1),"D",IF(E$4&lt;=EOMONTH(Packages!$K$5,Packages!$L$5+Packages!$M$5-1),"B",IF(E$4&lt;=EOMONTH(Packages!$K$5,Packages!$L$5+Packages!$M$5+Packages!$N$5-1),"U",IF(E$4&lt;=Packages!$U$5,"G",IF(E$4&lt;=Packages!$V$5,"S","")))))))</f>
        <v>U</v>
      </c>
      <c r="F5" s="64" t="str">
        <f>IF(F$4&lt;Packages!$K$5,"",IF(EOMONTH(F$4,0)=Packages!$U$5,"G",IF(F$4&lt;=EOMONTH(Packages!$K$5,Packages!$L$5-1),"D",IF(F$4&lt;=EOMONTH(Packages!$K$5,Packages!$L$5+Packages!$M$5-1),"B",IF(F$4&lt;=EOMONTH(Packages!$K$5,Packages!$L$5+Packages!$M$5+Packages!$N$5-1),"U",IF(F$4&lt;=Packages!$U$5,"G",IF(F$4&lt;=Packages!$V$5,"S","")))))))</f>
        <v>G</v>
      </c>
      <c r="G5" s="64" t="str">
        <f>IF(G$4&lt;Packages!$K$5,"",IF(EOMONTH(G$4,0)=Packages!$U$5,"G",IF(G$4&lt;=EOMONTH(Packages!$K$5,Packages!$L$5-1),"D",IF(G$4&lt;=EOMONTH(Packages!$K$5,Packages!$L$5+Packages!$M$5-1),"B",IF(G$4&lt;=EOMONTH(Packages!$K$5,Packages!$L$5+Packages!$M$5+Packages!$N$5-1),"U",IF(G$4&lt;=Packages!$U$5,"G",IF(G$4&lt;=Packages!$V$5,"S","")))))))</f>
        <v>S</v>
      </c>
      <c r="H5" s="64" t="str">
        <f>IF(H$4&lt;Packages!$K$5,"",IF(EOMONTH(H$4,0)=Packages!$U$5,"G",IF(H$4&lt;=EOMONTH(Packages!$K$5,Packages!$L$5-1),"D",IF(H$4&lt;=EOMONTH(Packages!$K$5,Packages!$L$5+Packages!$M$5-1),"B",IF(H$4&lt;=EOMONTH(Packages!$K$5,Packages!$L$5+Packages!$M$5+Packages!$N$5-1),"U",IF(H$4&lt;=Packages!$U$5,"G",IF(H$4&lt;=Packages!$V$5,"S","")))))))</f>
        <v>S</v>
      </c>
      <c r="I5" s="64" t="str">
        <f>IF(I$4&lt;Packages!$K$5,"",IF(EOMONTH(I$4,0)=Packages!$U$5,"G",IF(I$4&lt;=EOMONTH(Packages!$K$5,Packages!$L$5-1),"D",IF(I$4&lt;=EOMONTH(Packages!$K$5,Packages!$L$5+Packages!$M$5-1),"B",IF(I$4&lt;=EOMONTH(Packages!$K$5,Packages!$L$5+Packages!$M$5+Packages!$N$5-1),"U",IF(I$4&lt;=Packages!$U$5,"G",IF(I$4&lt;=Packages!$V$5,"S","")))))))</f>
        <v>S</v>
      </c>
      <c r="J5" s="64" t="str">
        <f>IF(J$4&lt;Packages!$K$5,"",IF(EOMONTH(J$4,0)=Packages!$U$5,"G",IF(J$4&lt;=EOMONTH(Packages!$K$5,Packages!$L$5-1),"D",IF(J$4&lt;=EOMONTH(Packages!$K$5,Packages!$L$5+Packages!$M$5-1),"B",IF(J$4&lt;=EOMONTH(Packages!$K$5,Packages!$L$5+Packages!$M$5+Packages!$N$5-1),"U",IF(J$4&lt;=Packages!$U$5,"G",IF(J$4&lt;=Packages!$V$5,"S","")))))))</f>
        <v/>
      </c>
      <c r="K5" s="64" t="str">
        <f>IF(K$4&lt;Packages!$K$5,"",IF(EOMONTH(K$4,0)=Packages!$U$5,"G",IF(K$4&lt;=EOMONTH(Packages!$K$5,Packages!$L$5-1),"D",IF(K$4&lt;=EOMONTH(Packages!$K$5,Packages!$L$5+Packages!$M$5-1),"B",IF(K$4&lt;=EOMONTH(Packages!$K$5,Packages!$L$5+Packages!$M$5+Packages!$N$5-1),"U",IF(K$4&lt;=Packages!$U$5,"G",IF(K$4&lt;=Packages!$V$5,"S","")))))))</f>
        <v/>
      </c>
      <c r="L5" s="64" t="str">
        <f>IF(L$4&lt;Packages!$K$5,"",IF(EOMONTH(L$4,0)=Packages!$U$5,"G",IF(L$4&lt;=EOMONTH(Packages!$K$5,Packages!$L$5-1),"D",IF(L$4&lt;=EOMONTH(Packages!$K$5,Packages!$L$5+Packages!$M$5-1),"B",IF(L$4&lt;=EOMONTH(Packages!$K$5,Packages!$L$5+Packages!$M$5+Packages!$N$5-1),"U",IF(L$4&lt;=Packages!$U$5,"G",IF(L$4&lt;=Packages!$V$5,"S","")))))))</f>
        <v/>
      </c>
      <c r="M5" s="64" t="str">
        <f>IF(M$4&lt;Packages!$K$5,"",IF(EOMONTH(M$4,0)=Packages!$U$5,"G",IF(M$4&lt;=EOMONTH(Packages!$K$5,Packages!$L$5-1),"D",IF(M$4&lt;=EOMONTH(Packages!$K$5,Packages!$L$5+Packages!$M$5-1),"B",IF(M$4&lt;=EOMONTH(Packages!$K$5,Packages!$L$5+Packages!$M$5+Packages!$N$5-1),"U",IF(M$4&lt;=Packages!$U$5,"G",IF(M$4&lt;=Packages!$V$5,"S","")))))))</f>
        <v/>
      </c>
      <c r="N5" s="64" t="str">
        <f>IF(N$4&lt;Packages!$K$5,"",IF(EOMONTH(N$4,0)=Packages!$U$5,"G",IF(N$4&lt;=EOMONTH(Packages!$K$5,Packages!$L$5-1),"D",IF(N$4&lt;=EOMONTH(Packages!$K$5,Packages!$L$5+Packages!$M$5-1),"B",IF(N$4&lt;=EOMONTH(Packages!$K$5,Packages!$L$5+Packages!$M$5+Packages!$N$5-1),"U",IF(N$4&lt;=Packages!$U$5,"G",IF(N$4&lt;=Packages!$V$5,"S","")))))))</f>
        <v/>
      </c>
      <c r="O5" s="64" t="str">
        <f>IF(O$4&lt;Packages!$K$5,"",IF(EOMONTH(O$4,0)=Packages!$U$5,"G",IF(O$4&lt;=EOMONTH(Packages!$K$5,Packages!$L$5-1),"D",IF(O$4&lt;=EOMONTH(Packages!$K$5,Packages!$L$5+Packages!$M$5-1),"B",IF(O$4&lt;=EOMONTH(Packages!$K$5,Packages!$L$5+Packages!$M$5+Packages!$N$5-1),"U",IF(O$4&lt;=Packages!$U$5,"G",IF(O$4&lt;=Packages!$V$5,"S","")))))))</f>
        <v/>
      </c>
      <c r="P5" s="64" t="str">
        <f>IF(P$4&lt;Packages!$K$5,"",IF(EOMONTH(P$4,0)=Packages!$U$5,"G",IF(P$4&lt;=EOMONTH(Packages!$K$5,Packages!$L$5-1),"D",IF(P$4&lt;=EOMONTH(Packages!$K$5,Packages!$L$5+Packages!$M$5-1),"B",IF(P$4&lt;=EOMONTH(Packages!$K$5,Packages!$L$5+Packages!$M$5+Packages!$N$5-1),"U",IF(P$4&lt;=Packages!$U$5,"G",IF(P$4&lt;=Packages!$V$5,"S","")))))))</f>
        <v/>
      </c>
      <c r="Q5" s="64" t="str">
        <f>IF(Q$4&lt;Packages!$K$5,"",IF(EOMONTH(Q$4,0)=Packages!$U$5,"G",IF(Q$4&lt;=EOMONTH(Packages!$K$5,Packages!$L$5-1),"D",IF(Q$4&lt;=EOMONTH(Packages!$K$5,Packages!$L$5+Packages!$M$5-1),"B",IF(Q$4&lt;=EOMONTH(Packages!$K$5,Packages!$L$5+Packages!$M$5+Packages!$N$5-1),"U",IF(Q$4&lt;=Packages!$U$5,"G",IF(Q$4&lt;=Packages!$V$5,"S","")))))))</f>
        <v/>
      </c>
      <c r="R5" s="64" t="str">
        <f>IF(R$4&lt;Packages!$K$5,"",IF(EOMONTH(R$4,0)=Packages!$U$5,"G",IF(R$4&lt;=EOMONTH(Packages!$K$5,Packages!$L$5-1),"D",IF(R$4&lt;=EOMONTH(Packages!$K$5,Packages!$L$5+Packages!$M$5-1),"B",IF(R$4&lt;=EOMONTH(Packages!$K$5,Packages!$L$5+Packages!$M$5+Packages!$N$5-1),"U",IF(R$4&lt;=Packages!$U$5,"G",IF(R$4&lt;=Packages!$V$5,"S","")))))))</f>
        <v/>
      </c>
      <c r="S5" s="64" t="str">
        <f>IF(S$4&lt;Packages!$K$5,"",IF(EOMONTH(S$4,0)=Packages!$U$5,"G",IF(S$4&lt;=EOMONTH(Packages!$K$5,Packages!$L$5-1),"D",IF(S$4&lt;=EOMONTH(Packages!$K$5,Packages!$L$5+Packages!$M$5-1),"B",IF(S$4&lt;=EOMONTH(Packages!$K$5,Packages!$L$5+Packages!$M$5+Packages!$N$5-1),"U",IF(S$4&lt;=Packages!$U$5,"G",IF(S$4&lt;=Packages!$V$5,"S","")))))))</f>
        <v/>
      </c>
      <c r="T5" s="64" t="str">
        <f>IF(T$4&lt;Packages!$K$5,"",IF(EOMONTH(T$4,0)=Packages!$U$5,"G",IF(T$4&lt;=EOMONTH(Packages!$K$5,Packages!$L$5-1),"D",IF(T$4&lt;=EOMONTH(Packages!$K$5,Packages!$L$5+Packages!$M$5-1),"B",IF(T$4&lt;=EOMONTH(Packages!$K$5,Packages!$L$5+Packages!$M$5+Packages!$N$5-1),"U",IF(T$4&lt;=Packages!$U$5,"G",IF(T$4&lt;=Packages!$V$5,"S","")))))))</f>
        <v/>
      </c>
      <c r="U5" s="64" t="str">
        <f>IF(U$4&lt;Packages!$K$5,"",IF(EOMONTH(U$4,0)=Packages!$U$5,"G",IF(U$4&lt;=EOMONTH(Packages!$K$5,Packages!$L$5-1),"D",IF(U$4&lt;=EOMONTH(Packages!$K$5,Packages!$L$5+Packages!$M$5-1),"B",IF(U$4&lt;=EOMONTH(Packages!$K$5,Packages!$L$5+Packages!$M$5+Packages!$N$5-1),"U",IF(U$4&lt;=Packages!$U$5,"G",IF(U$4&lt;=Packages!$V$5,"S","")))))))</f>
        <v/>
      </c>
      <c r="V5" s="64" t="str">
        <f>IF(V$4&lt;Packages!$K$5,"",IF(EOMONTH(V$4,0)=Packages!$U$5,"G",IF(V$4&lt;=EOMONTH(Packages!$K$5,Packages!$L$5-1),"D",IF(V$4&lt;=EOMONTH(Packages!$K$5,Packages!$L$5+Packages!$M$5-1),"B",IF(V$4&lt;=EOMONTH(Packages!$K$5,Packages!$L$5+Packages!$M$5+Packages!$N$5-1),"U",IF(V$4&lt;=Packages!$U$5,"G",IF(V$4&lt;=Packages!$V$5,"S","")))))))</f>
        <v/>
      </c>
      <c r="W5" s="64" t="str">
        <f>IF(W$4&lt;Packages!$K$5,"",IF(EOMONTH(W$4,0)=Packages!$U$5,"G",IF(W$4&lt;=EOMONTH(Packages!$K$5,Packages!$L$5-1),"D",IF(W$4&lt;=EOMONTH(Packages!$K$5,Packages!$L$5+Packages!$M$5-1),"B",IF(W$4&lt;=EOMONTH(Packages!$K$5,Packages!$L$5+Packages!$M$5+Packages!$N$5-1),"U",IF(W$4&lt;=Packages!$U$5,"G",IF(W$4&lt;=Packages!$V$5,"S","")))))))</f>
        <v/>
      </c>
      <c r="X5" s="64" t="str">
        <f>IF(X$4&lt;Packages!$K$5,"",IF(EOMONTH(X$4,0)=Packages!$U$5,"G",IF(X$4&lt;=EOMONTH(Packages!$K$5,Packages!$L$5-1),"D",IF(X$4&lt;=EOMONTH(Packages!$K$5,Packages!$L$5+Packages!$M$5-1),"B",IF(X$4&lt;=EOMONTH(Packages!$K$5,Packages!$L$5+Packages!$M$5+Packages!$N$5-1),"U",IF(X$4&lt;=Packages!$U$5,"G",IF(X$4&lt;=Packages!$V$5,"S","")))))))</f>
        <v/>
      </c>
      <c r="Y5" s="64" t="str">
        <f>IF(Y$4&lt;Packages!$K$5,"",IF(EOMONTH(Y$4,0)=Packages!$U$5,"G",IF(Y$4&lt;=EOMONTH(Packages!$K$5,Packages!$L$5-1),"D",IF(Y$4&lt;=EOMONTH(Packages!$K$5,Packages!$L$5+Packages!$M$5-1),"B",IF(Y$4&lt;=EOMONTH(Packages!$K$5,Packages!$L$5+Packages!$M$5+Packages!$N$5-1),"U",IF(Y$4&lt;=Packages!$U$5,"G",IF(Y$4&lt;=Packages!$V$5,"S","")))))))</f>
        <v/>
      </c>
      <c r="Z5" s="64" t="str">
        <f>IF(Z$4&lt;Packages!$K$5,"",IF(EOMONTH(Z$4,0)=Packages!$U$5,"G",IF(Z$4&lt;=EOMONTH(Packages!$K$5,Packages!$L$5-1),"D",IF(Z$4&lt;=EOMONTH(Packages!$K$5,Packages!$L$5+Packages!$M$5-1),"B",IF(Z$4&lt;=EOMONTH(Packages!$K$5,Packages!$L$5+Packages!$M$5+Packages!$N$5-1),"U",IF(Z$4&lt;=Packages!$U$5,"G",IF(Z$4&lt;=Packages!$V$5,"S","")))))))</f>
        <v/>
      </c>
      <c r="AA5" s="64" t="str">
        <f>IF(AA$4&lt;Packages!$K$5,"",IF(EOMONTH(AA$4,0)=Packages!$U$5,"G",IF(AA$4&lt;=EOMONTH(Packages!$K$5,Packages!$L$5-1),"D",IF(AA$4&lt;=EOMONTH(Packages!$K$5,Packages!$L$5+Packages!$M$5-1),"B",IF(AA$4&lt;=EOMONTH(Packages!$K$5,Packages!$L$5+Packages!$M$5+Packages!$N$5-1),"U",IF(AA$4&lt;=Packages!$U$5,"G",IF(AA$4&lt;=Packages!$V$5,"S","")))))))</f>
        <v/>
      </c>
      <c r="AB5" s="64" t="str">
        <f>IF(AB$4&lt;Packages!$K$5,"",IF(EOMONTH(AB$4,0)=Packages!$U$5,"G",IF(AB$4&lt;=EOMONTH(Packages!$K$5,Packages!$L$5-1),"D",IF(AB$4&lt;=EOMONTH(Packages!$K$5,Packages!$L$5+Packages!$M$5-1),"B",IF(AB$4&lt;=EOMONTH(Packages!$K$5,Packages!$L$5+Packages!$M$5+Packages!$N$5-1),"U",IF(AB$4&lt;=Packages!$U$5,"G",IF(AB$4&lt;=Packages!$V$5,"S","")))))))</f>
        <v/>
      </c>
      <c r="AC5" s="64" t="str">
        <f>IF(AC$4&lt;Packages!$K$5,"",IF(EOMONTH(AC$4,0)=Packages!$U$5,"G",IF(AC$4&lt;=EOMONTH(Packages!$K$5,Packages!$L$5-1),"D",IF(AC$4&lt;=EOMONTH(Packages!$K$5,Packages!$L$5+Packages!$M$5-1),"B",IF(AC$4&lt;=EOMONTH(Packages!$K$5,Packages!$L$5+Packages!$M$5+Packages!$N$5-1),"U",IF(AC$4&lt;=Packages!$U$5,"G",IF(AC$4&lt;=Packages!$V$5,"S","")))))))</f>
        <v/>
      </c>
      <c r="AD5" s="64" t="str">
        <f>IF(AD$4&lt;Packages!$K$5,"",IF(EOMONTH(AD$4,0)=Packages!$U$5,"G",IF(AD$4&lt;=EOMONTH(Packages!$K$5,Packages!$L$5-1),"D",IF(AD$4&lt;=EOMONTH(Packages!$K$5,Packages!$L$5+Packages!$M$5-1),"B",IF(AD$4&lt;=EOMONTH(Packages!$K$5,Packages!$L$5+Packages!$M$5+Packages!$N$5-1),"U",IF(AD$4&lt;=Packages!$U$5,"G",IF(AD$4&lt;=Packages!$V$5,"S","")))))))</f>
        <v/>
      </c>
      <c r="AE5" s="64" t="str">
        <f>IF(AE$4&lt;Packages!$K$5,"",IF(EOMONTH(AE$4,0)=Packages!$U$5,"G",IF(AE$4&lt;=EOMONTH(Packages!$K$5,Packages!$L$5-1),"D",IF(AE$4&lt;=EOMONTH(Packages!$K$5,Packages!$L$5+Packages!$M$5-1),"B",IF(AE$4&lt;=EOMONTH(Packages!$K$5,Packages!$L$5+Packages!$M$5+Packages!$N$5-1),"U",IF(AE$4&lt;=Packages!$U$5,"G",IF(AE$4&lt;=Packages!$V$5,"S","")))))))</f>
        <v/>
      </c>
      <c r="AF5" s="64" t="str">
        <f>IF(AF$4&lt;Packages!$K$5,"",IF(EOMONTH(AF$4,0)=Packages!$U$5,"G",IF(AF$4&lt;=EOMONTH(Packages!$K$5,Packages!$L$5-1),"D",IF(AF$4&lt;=EOMONTH(Packages!$K$5,Packages!$L$5+Packages!$M$5-1),"B",IF(AF$4&lt;=EOMONTH(Packages!$K$5,Packages!$L$5+Packages!$M$5+Packages!$N$5-1),"U",IF(AF$4&lt;=Packages!$U$5,"G",IF(AF$4&lt;=Packages!$V$5,"S","")))))))</f>
        <v/>
      </c>
      <c r="AG5" s="64" t="str">
        <f>IF(AG$4&lt;Packages!$K$5,"",IF(EOMONTH(AG$4,0)=Packages!$U$5,"G",IF(AG$4&lt;=EOMONTH(Packages!$K$5,Packages!$L$5-1),"D",IF(AG$4&lt;=EOMONTH(Packages!$K$5,Packages!$L$5+Packages!$M$5-1),"B",IF(AG$4&lt;=EOMONTH(Packages!$K$5,Packages!$L$5+Packages!$M$5+Packages!$N$5-1),"U",IF(AG$4&lt;=Packages!$U$5,"G",IF(AG$4&lt;=Packages!$V$5,"S","")))))))</f>
        <v/>
      </c>
      <c r="AH5" s="64" t="str">
        <f>IF(AH$4&lt;Packages!$K$5,"",IF(EOMONTH(AH$4,0)=Packages!$U$5,"G",IF(AH$4&lt;=EOMONTH(Packages!$K$5,Packages!$L$5-1),"D",IF(AH$4&lt;=EOMONTH(Packages!$K$5,Packages!$L$5+Packages!$M$5-1),"B",IF(AH$4&lt;=EOMONTH(Packages!$K$5,Packages!$L$5+Packages!$M$5+Packages!$N$5-1),"U",IF(AH$4&lt;=Packages!$U$5,"G",IF(AH$4&lt;=Packages!$V$5,"S","")))))))</f>
        <v/>
      </c>
      <c r="AI5" s="64" t="str">
        <f>IF(AI$4&lt;Packages!$K$5,"",IF(EOMONTH(AI$4,0)=Packages!$U$5,"G",IF(AI$4&lt;=EOMONTH(Packages!$K$5,Packages!$L$5-1),"D",IF(AI$4&lt;=EOMONTH(Packages!$K$5,Packages!$L$5+Packages!$M$5-1),"B",IF(AI$4&lt;=EOMONTH(Packages!$K$5,Packages!$L$5+Packages!$M$5+Packages!$N$5-1),"U",IF(AI$4&lt;=Packages!$U$5,"G",IF(AI$4&lt;=Packages!$V$5,"S","")))))))</f>
        <v/>
      </c>
      <c r="AJ5" s="64" t="str">
        <f>IF(AJ$4&lt;Packages!$K$5,"",IF(EOMONTH(AJ$4,0)=Packages!$U$5,"G",IF(AJ$4&lt;=EOMONTH(Packages!$K$5,Packages!$L$5-1),"D",IF(AJ$4&lt;=EOMONTH(Packages!$K$5,Packages!$L$5+Packages!$M$5-1),"B",IF(AJ$4&lt;=EOMONTH(Packages!$K$5,Packages!$L$5+Packages!$M$5+Packages!$N$5-1),"U",IF(AJ$4&lt;=Packages!$U$5,"G",IF(AJ$4&lt;=Packages!$V$5,"S","")))))))</f>
        <v/>
      </c>
      <c r="AK5" s="64" t="str">
        <f>IF(AK$4&lt;Packages!$K$5,"",IF(EOMONTH(AK$4,0)=Packages!$U$5,"G",IF(AK$4&lt;=EOMONTH(Packages!$K$5,Packages!$L$5-1),"D",IF(AK$4&lt;=EOMONTH(Packages!$K$5,Packages!$L$5+Packages!$M$5-1),"B",IF(AK$4&lt;=EOMONTH(Packages!$K$5,Packages!$L$5+Packages!$M$5+Packages!$N$5-1),"U",IF(AK$4&lt;=Packages!$U$5,"G",IF(AK$4&lt;=Packages!$V$5,"S","")))))))</f>
        <v/>
      </c>
      <c r="AL5" s="64" t="str">
        <f>IF(AL$4&lt;Packages!$K$5,"",IF(EOMONTH(AL$4,0)=Packages!$U$5,"G",IF(AL$4&lt;=EOMONTH(Packages!$K$5,Packages!$L$5-1),"D",IF(AL$4&lt;=EOMONTH(Packages!$K$5,Packages!$L$5+Packages!$M$5-1),"B",IF(AL$4&lt;=EOMONTH(Packages!$K$5,Packages!$L$5+Packages!$M$5+Packages!$N$5-1),"U",IF(AL$4&lt;=Packages!$U$5,"G",IF(AL$4&lt;=Packages!$V$5,"S","")))))))</f>
        <v/>
      </c>
      <c r="AM5" s="64" t="str">
        <f>IF(AM$4&lt;Packages!$K$5,"",IF(EOMONTH(AM$4,0)=Packages!$U$5,"G",IF(AM$4&lt;=EOMONTH(Packages!$K$5,Packages!$L$5-1),"D",IF(AM$4&lt;=EOMONTH(Packages!$K$5,Packages!$L$5+Packages!$M$5-1),"B",IF(AM$4&lt;=EOMONTH(Packages!$K$5,Packages!$L$5+Packages!$M$5+Packages!$N$5-1),"U",IF(AM$4&lt;=Packages!$U$5,"G",IF(AM$4&lt;=Packages!$V$5,"S","")))))))</f>
        <v/>
      </c>
      <c r="AN5" s="64" t="str">
        <f>IF(AN$4&lt;Packages!$K$5,"",IF(EOMONTH(AN$4,0)=Packages!$U$5,"G",IF(AN$4&lt;=EOMONTH(Packages!$K$5,Packages!$L$5-1),"D",IF(AN$4&lt;=EOMONTH(Packages!$K$5,Packages!$L$5+Packages!$M$5-1),"B",IF(AN$4&lt;=EOMONTH(Packages!$K$5,Packages!$L$5+Packages!$M$5+Packages!$N$5-1),"U",IF(AN$4&lt;=Packages!$U$5,"G",IF(AN$4&lt;=Packages!$V$5,"S","")))))))</f>
        <v/>
      </c>
      <c r="AO5" s="64" t="str">
        <f>IF(AO$4&lt;Packages!$K$5,"",IF(EOMONTH(AO$4,0)=Packages!$U$5,"G",IF(AO$4&lt;=EOMONTH(Packages!$K$5,Packages!$L$5-1),"D",IF(AO$4&lt;=EOMONTH(Packages!$K$5,Packages!$L$5+Packages!$M$5-1),"B",IF(AO$4&lt;=EOMONTH(Packages!$K$5,Packages!$L$5+Packages!$M$5+Packages!$N$5-1),"U",IF(AO$4&lt;=Packages!$U$5,"G",IF(AO$4&lt;=Packages!$V$5,"S","")))))))</f>
        <v/>
      </c>
    </row>
    <row r="6" ht="30" customHeight="1" spans="1:41" x14ac:dyDescent="0.25">
      <c r="A6" s="10" t="str">
        <f>Packages!A6</f>
        <v>WP2</v>
      </c>
      <c r="B6" s="11" t="str">
        <f>Packages!B6</f>
        <v>Accounts and laboratory testing (Chemical, Physical, Energy Meter)</v>
      </c>
      <c r="C6" s="64" t="str">
        <f>IF(C$4&lt;Packages!$K$6,"",IF(EOMONTH(C$4,0)=Packages!$U$6,"G",IF(C$4&lt;=EOMONTH(Packages!$K$6,Packages!$L$6-1),"D",IF(C$4&lt;=EOMONTH(Packages!$K$6,Packages!$L$6+Packages!$M$6-1),"B",IF(C$4&lt;=EOMONTH(Packages!$K$6,Packages!$L$6+Packages!$M$6+Packages!$N$6-1),"U",IF(C$4&lt;=Packages!$U$6,"G",IF(C$4&lt;=Packages!$V$6,"S","")))))))</f>
        <v/>
      </c>
      <c r="D6" s="64" t="str">
        <f>IF(D$4&lt;Packages!$K$6,"",IF(EOMONTH(D$4,0)=Packages!$U$6,"G",IF(D$4&lt;=EOMONTH(Packages!$K$6,Packages!$L$6-1),"D",IF(D$4&lt;=EOMONTH(Packages!$K$6,Packages!$L$6+Packages!$M$6-1),"B",IF(D$4&lt;=EOMONTH(Packages!$K$6,Packages!$L$6+Packages!$M$6+Packages!$N$6-1),"U",IF(D$4&lt;=Packages!$U$6,"G",IF(D$4&lt;=Packages!$V$6,"S","")))))))</f>
        <v/>
      </c>
      <c r="E6" s="64" t="str">
        <f>IF(E$4&lt;Packages!$K$6,"",IF(EOMONTH(E$4,0)=Packages!$U$6,"G",IF(E$4&lt;=EOMONTH(Packages!$K$6,Packages!$L$6-1),"D",IF(E$4&lt;=EOMONTH(Packages!$K$6,Packages!$L$6+Packages!$M$6-1),"B",IF(E$4&lt;=EOMONTH(Packages!$K$6,Packages!$L$6+Packages!$M$6+Packages!$N$6-1),"U",IF(E$4&lt;=Packages!$U$6,"G",IF(E$4&lt;=Packages!$V$6,"S","")))))))</f>
        <v/>
      </c>
      <c r="F6" s="64" t="str">
        <f>IF(F$4&lt;Packages!$K$6,"",IF(EOMONTH(F$4,0)=Packages!$U$6,"G",IF(F$4&lt;=EOMONTH(Packages!$K$6,Packages!$L$6-1),"D",IF(F$4&lt;=EOMONTH(Packages!$K$6,Packages!$L$6+Packages!$M$6-1),"B",IF(F$4&lt;=EOMONTH(Packages!$K$6,Packages!$L$6+Packages!$M$6+Packages!$N$6-1),"U",IF(F$4&lt;=Packages!$U$6,"G",IF(F$4&lt;=Packages!$V$6,"S","")))))))</f>
        <v/>
      </c>
      <c r="G6" s="64" t="str">
        <f>IF(G$4&lt;Packages!$K$6,"",IF(EOMONTH(G$4,0)=Packages!$U$6,"G",IF(G$4&lt;=EOMONTH(Packages!$K$6,Packages!$L$6-1),"D",IF(G$4&lt;=EOMONTH(Packages!$K$6,Packages!$L$6+Packages!$M$6-1),"B",IF(G$4&lt;=EOMONTH(Packages!$K$6,Packages!$L$6+Packages!$M$6+Packages!$N$6-1),"U",IF(G$4&lt;=Packages!$U$6,"G",IF(G$4&lt;=Packages!$V$6,"S","")))))))</f>
        <v>D</v>
      </c>
      <c r="H6" s="64" t="str">
        <f>IF(H$4&lt;Packages!$K$6,"",IF(EOMONTH(H$4,0)=Packages!$U$6,"G",IF(H$4&lt;=EOMONTH(Packages!$K$6,Packages!$L$6-1),"D",IF(H$4&lt;=EOMONTH(Packages!$K$6,Packages!$L$6+Packages!$M$6-1),"B",IF(H$4&lt;=EOMONTH(Packages!$K$6,Packages!$L$6+Packages!$M$6+Packages!$N$6-1),"U",IF(H$4&lt;=Packages!$U$6,"G",IF(H$4&lt;=Packages!$V$6,"S","")))))))</f>
        <v>B</v>
      </c>
      <c r="I6" s="64" t="str">
        <f>IF(I$4&lt;Packages!$K$6,"",IF(EOMONTH(I$4,0)=Packages!$U$6,"G",IF(I$4&lt;=EOMONTH(Packages!$K$6,Packages!$L$6-1),"D",IF(I$4&lt;=EOMONTH(Packages!$K$6,Packages!$L$6+Packages!$M$6-1),"B",IF(I$4&lt;=EOMONTH(Packages!$K$6,Packages!$L$6+Packages!$M$6+Packages!$N$6-1),"U",IF(I$4&lt;=Packages!$U$6,"G",IF(I$4&lt;=Packages!$V$6,"S","")))))))</f>
        <v>U</v>
      </c>
      <c r="J6" s="64" t="str">
        <f>IF(J$4&lt;Packages!$K$6,"",IF(EOMONTH(J$4,0)=Packages!$U$6,"G",IF(J$4&lt;=EOMONTH(Packages!$K$6,Packages!$L$6-1),"D",IF(J$4&lt;=EOMONTH(Packages!$K$6,Packages!$L$6+Packages!$M$6-1),"B",IF(J$4&lt;=EOMONTH(Packages!$K$6,Packages!$L$6+Packages!$M$6+Packages!$N$6-1),"U",IF(J$4&lt;=Packages!$U$6,"G",IF(J$4&lt;=Packages!$V$6,"S","")))))))</f>
        <v>G</v>
      </c>
      <c r="K6" s="64" t="str">
        <f>IF(K$4&lt;Packages!$K$6,"",IF(EOMONTH(K$4,0)=Packages!$U$6,"G",IF(K$4&lt;=EOMONTH(Packages!$K$6,Packages!$L$6-1),"D",IF(K$4&lt;=EOMONTH(Packages!$K$6,Packages!$L$6+Packages!$M$6-1),"B",IF(K$4&lt;=EOMONTH(Packages!$K$6,Packages!$L$6+Packages!$M$6+Packages!$N$6-1),"U",IF(K$4&lt;=Packages!$U$6,"G",IF(K$4&lt;=Packages!$V$6,"S","")))))))</f>
        <v>S</v>
      </c>
      <c r="L6" s="64" t="str">
        <f>IF(L$4&lt;Packages!$K$6,"",IF(EOMONTH(L$4,0)=Packages!$U$6,"G",IF(L$4&lt;=EOMONTH(Packages!$K$6,Packages!$L$6-1),"D",IF(L$4&lt;=EOMONTH(Packages!$K$6,Packages!$L$6+Packages!$M$6-1),"B",IF(L$4&lt;=EOMONTH(Packages!$K$6,Packages!$L$6+Packages!$M$6+Packages!$N$6-1),"U",IF(L$4&lt;=Packages!$U$6,"G",IF(L$4&lt;=Packages!$V$6,"S","")))))))</f>
        <v>S</v>
      </c>
      <c r="M6" s="64" t="str">
        <f>IF(M$4&lt;Packages!$K$6,"",IF(EOMONTH(M$4,0)=Packages!$U$6,"G",IF(M$4&lt;=EOMONTH(Packages!$K$6,Packages!$L$6-1),"D",IF(M$4&lt;=EOMONTH(Packages!$K$6,Packages!$L$6+Packages!$M$6-1),"B",IF(M$4&lt;=EOMONTH(Packages!$K$6,Packages!$L$6+Packages!$M$6+Packages!$N$6-1),"U",IF(M$4&lt;=Packages!$U$6,"G",IF(M$4&lt;=Packages!$V$6,"S","")))))))</f>
        <v>S</v>
      </c>
      <c r="N6" s="64" t="str">
        <f>IF(N$4&lt;Packages!$K$6,"",IF(EOMONTH(N$4,0)=Packages!$U$6,"G",IF(N$4&lt;=EOMONTH(Packages!$K$6,Packages!$L$6-1),"D",IF(N$4&lt;=EOMONTH(Packages!$K$6,Packages!$L$6+Packages!$M$6-1),"B",IF(N$4&lt;=EOMONTH(Packages!$K$6,Packages!$L$6+Packages!$M$6+Packages!$N$6-1),"U",IF(N$4&lt;=Packages!$U$6,"G",IF(N$4&lt;=Packages!$V$6,"S","")))))))</f>
        <v/>
      </c>
      <c r="O6" s="64" t="str">
        <f>IF(O$4&lt;Packages!$K$6,"",IF(EOMONTH(O$4,0)=Packages!$U$6,"G",IF(O$4&lt;=EOMONTH(Packages!$K$6,Packages!$L$6-1),"D",IF(O$4&lt;=EOMONTH(Packages!$K$6,Packages!$L$6+Packages!$M$6-1),"B",IF(O$4&lt;=EOMONTH(Packages!$K$6,Packages!$L$6+Packages!$M$6+Packages!$N$6-1),"U",IF(O$4&lt;=Packages!$U$6,"G",IF(O$4&lt;=Packages!$V$6,"S","")))))))</f>
        <v/>
      </c>
      <c r="P6" s="64" t="str">
        <f>IF(P$4&lt;Packages!$K$6,"",IF(EOMONTH(P$4,0)=Packages!$U$6,"G",IF(P$4&lt;=EOMONTH(Packages!$K$6,Packages!$L$6-1),"D",IF(P$4&lt;=EOMONTH(Packages!$K$6,Packages!$L$6+Packages!$M$6-1),"B",IF(P$4&lt;=EOMONTH(Packages!$K$6,Packages!$L$6+Packages!$M$6+Packages!$N$6-1),"U",IF(P$4&lt;=Packages!$U$6,"G",IF(P$4&lt;=Packages!$V$6,"S","")))))))</f>
        <v/>
      </c>
      <c r="Q6" s="64" t="str">
        <f>IF(Q$4&lt;Packages!$K$6,"",IF(EOMONTH(Q$4,0)=Packages!$U$6,"G",IF(Q$4&lt;=EOMONTH(Packages!$K$6,Packages!$L$6-1),"D",IF(Q$4&lt;=EOMONTH(Packages!$K$6,Packages!$L$6+Packages!$M$6-1),"B",IF(Q$4&lt;=EOMONTH(Packages!$K$6,Packages!$L$6+Packages!$M$6+Packages!$N$6-1),"U",IF(Q$4&lt;=Packages!$U$6,"G",IF(Q$4&lt;=Packages!$V$6,"S","")))))))</f>
        <v/>
      </c>
      <c r="R6" s="64" t="str">
        <f>IF(R$4&lt;Packages!$K$6,"",IF(EOMONTH(R$4,0)=Packages!$U$6,"G",IF(R$4&lt;=EOMONTH(Packages!$K$6,Packages!$L$6-1),"D",IF(R$4&lt;=EOMONTH(Packages!$K$6,Packages!$L$6+Packages!$M$6-1),"B",IF(R$4&lt;=EOMONTH(Packages!$K$6,Packages!$L$6+Packages!$M$6+Packages!$N$6-1),"U",IF(R$4&lt;=Packages!$U$6,"G",IF(R$4&lt;=Packages!$V$6,"S","")))))))</f>
        <v/>
      </c>
      <c r="S6" s="64" t="str">
        <f>IF(S$4&lt;Packages!$K$6,"",IF(EOMONTH(S$4,0)=Packages!$U$6,"G",IF(S$4&lt;=EOMONTH(Packages!$K$6,Packages!$L$6-1),"D",IF(S$4&lt;=EOMONTH(Packages!$K$6,Packages!$L$6+Packages!$M$6-1),"B",IF(S$4&lt;=EOMONTH(Packages!$K$6,Packages!$L$6+Packages!$M$6+Packages!$N$6-1),"U",IF(S$4&lt;=Packages!$U$6,"G",IF(S$4&lt;=Packages!$V$6,"S","")))))))</f>
        <v/>
      </c>
      <c r="T6" s="64" t="str">
        <f>IF(T$4&lt;Packages!$K$6,"",IF(EOMONTH(T$4,0)=Packages!$U$6,"G",IF(T$4&lt;=EOMONTH(Packages!$K$6,Packages!$L$6-1),"D",IF(T$4&lt;=EOMONTH(Packages!$K$6,Packages!$L$6+Packages!$M$6-1),"B",IF(T$4&lt;=EOMONTH(Packages!$K$6,Packages!$L$6+Packages!$M$6+Packages!$N$6-1),"U",IF(T$4&lt;=Packages!$U$6,"G",IF(T$4&lt;=Packages!$V$6,"S","")))))))</f>
        <v/>
      </c>
      <c r="U6" s="64" t="str">
        <f>IF(U$4&lt;Packages!$K$6,"",IF(EOMONTH(U$4,0)=Packages!$U$6,"G",IF(U$4&lt;=EOMONTH(Packages!$K$6,Packages!$L$6-1),"D",IF(U$4&lt;=EOMONTH(Packages!$K$6,Packages!$L$6+Packages!$M$6-1),"B",IF(U$4&lt;=EOMONTH(Packages!$K$6,Packages!$L$6+Packages!$M$6+Packages!$N$6-1),"U",IF(U$4&lt;=Packages!$U$6,"G",IF(U$4&lt;=Packages!$V$6,"S","")))))))</f>
        <v/>
      </c>
      <c r="V6" s="64" t="str">
        <f>IF(V$4&lt;Packages!$K$6,"",IF(EOMONTH(V$4,0)=Packages!$U$6,"G",IF(V$4&lt;=EOMONTH(Packages!$K$6,Packages!$L$6-1),"D",IF(V$4&lt;=EOMONTH(Packages!$K$6,Packages!$L$6+Packages!$M$6-1),"B",IF(V$4&lt;=EOMONTH(Packages!$K$6,Packages!$L$6+Packages!$M$6+Packages!$N$6-1),"U",IF(V$4&lt;=Packages!$U$6,"G",IF(V$4&lt;=Packages!$V$6,"S","")))))))</f>
        <v/>
      </c>
      <c r="W6" s="64" t="str">
        <f>IF(W$4&lt;Packages!$K$6,"",IF(EOMONTH(W$4,0)=Packages!$U$6,"G",IF(W$4&lt;=EOMONTH(Packages!$K$6,Packages!$L$6-1),"D",IF(W$4&lt;=EOMONTH(Packages!$K$6,Packages!$L$6+Packages!$M$6-1),"B",IF(W$4&lt;=EOMONTH(Packages!$K$6,Packages!$L$6+Packages!$M$6+Packages!$N$6-1),"U",IF(W$4&lt;=Packages!$U$6,"G",IF(W$4&lt;=Packages!$V$6,"S","")))))))</f>
        <v/>
      </c>
      <c r="X6" s="64" t="str">
        <f>IF(X$4&lt;Packages!$K$6,"",IF(EOMONTH(X$4,0)=Packages!$U$6,"G",IF(X$4&lt;=EOMONTH(Packages!$K$6,Packages!$L$6-1),"D",IF(X$4&lt;=EOMONTH(Packages!$K$6,Packages!$L$6+Packages!$M$6-1),"B",IF(X$4&lt;=EOMONTH(Packages!$K$6,Packages!$L$6+Packages!$M$6+Packages!$N$6-1),"U",IF(X$4&lt;=Packages!$U$6,"G",IF(X$4&lt;=Packages!$V$6,"S","")))))))</f>
        <v/>
      </c>
      <c r="Y6" s="64" t="str">
        <f>IF(Y$4&lt;Packages!$K$6,"",IF(EOMONTH(Y$4,0)=Packages!$U$6,"G",IF(Y$4&lt;=EOMONTH(Packages!$K$6,Packages!$L$6-1),"D",IF(Y$4&lt;=EOMONTH(Packages!$K$6,Packages!$L$6+Packages!$M$6-1),"B",IF(Y$4&lt;=EOMONTH(Packages!$K$6,Packages!$L$6+Packages!$M$6+Packages!$N$6-1),"U",IF(Y$4&lt;=Packages!$U$6,"G",IF(Y$4&lt;=Packages!$V$6,"S","")))))))</f>
        <v/>
      </c>
      <c r="Z6" s="64" t="str">
        <f>IF(Z$4&lt;Packages!$K$6,"",IF(EOMONTH(Z$4,0)=Packages!$U$6,"G",IF(Z$4&lt;=EOMONTH(Packages!$K$6,Packages!$L$6-1),"D",IF(Z$4&lt;=EOMONTH(Packages!$K$6,Packages!$L$6+Packages!$M$6-1),"B",IF(Z$4&lt;=EOMONTH(Packages!$K$6,Packages!$L$6+Packages!$M$6+Packages!$N$6-1),"U",IF(Z$4&lt;=Packages!$U$6,"G",IF(Z$4&lt;=Packages!$V$6,"S","")))))))</f>
        <v/>
      </c>
      <c r="AA6" s="64" t="str">
        <f>IF(AA$4&lt;Packages!$K$6,"",IF(EOMONTH(AA$4,0)=Packages!$U$6,"G",IF(AA$4&lt;=EOMONTH(Packages!$K$6,Packages!$L$6-1),"D",IF(AA$4&lt;=EOMONTH(Packages!$K$6,Packages!$L$6+Packages!$M$6-1),"B",IF(AA$4&lt;=EOMONTH(Packages!$K$6,Packages!$L$6+Packages!$M$6+Packages!$N$6-1),"U",IF(AA$4&lt;=Packages!$U$6,"G",IF(AA$4&lt;=Packages!$V$6,"S","")))))))</f>
        <v/>
      </c>
      <c r="AB6" s="64" t="str">
        <f>IF(AB$4&lt;Packages!$K$6,"",IF(EOMONTH(AB$4,0)=Packages!$U$6,"G",IF(AB$4&lt;=EOMONTH(Packages!$K$6,Packages!$L$6-1),"D",IF(AB$4&lt;=EOMONTH(Packages!$K$6,Packages!$L$6+Packages!$M$6-1),"B",IF(AB$4&lt;=EOMONTH(Packages!$K$6,Packages!$L$6+Packages!$M$6+Packages!$N$6-1),"U",IF(AB$4&lt;=Packages!$U$6,"G",IF(AB$4&lt;=Packages!$V$6,"S","")))))))</f>
        <v/>
      </c>
      <c r="AC6" s="64" t="str">
        <f>IF(AC$4&lt;Packages!$K$6,"",IF(EOMONTH(AC$4,0)=Packages!$U$6,"G",IF(AC$4&lt;=EOMONTH(Packages!$K$6,Packages!$L$6-1),"D",IF(AC$4&lt;=EOMONTH(Packages!$K$6,Packages!$L$6+Packages!$M$6-1),"B",IF(AC$4&lt;=EOMONTH(Packages!$K$6,Packages!$L$6+Packages!$M$6+Packages!$N$6-1),"U",IF(AC$4&lt;=Packages!$U$6,"G",IF(AC$4&lt;=Packages!$V$6,"S","")))))))</f>
        <v/>
      </c>
      <c r="AD6" s="64" t="str">
        <f>IF(AD$4&lt;Packages!$K$6,"",IF(EOMONTH(AD$4,0)=Packages!$U$6,"G",IF(AD$4&lt;=EOMONTH(Packages!$K$6,Packages!$L$6-1),"D",IF(AD$4&lt;=EOMONTH(Packages!$K$6,Packages!$L$6+Packages!$M$6-1),"B",IF(AD$4&lt;=EOMONTH(Packages!$K$6,Packages!$L$6+Packages!$M$6+Packages!$N$6-1),"U",IF(AD$4&lt;=Packages!$U$6,"G",IF(AD$4&lt;=Packages!$V$6,"S","")))))))</f>
        <v/>
      </c>
      <c r="AE6" s="64" t="str">
        <f>IF(AE$4&lt;Packages!$K$6,"",IF(EOMONTH(AE$4,0)=Packages!$U$6,"G",IF(AE$4&lt;=EOMONTH(Packages!$K$6,Packages!$L$6-1),"D",IF(AE$4&lt;=EOMONTH(Packages!$K$6,Packages!$L$6+Packages!$M$6-1),"B",IF(AE$4&lt;=EOMONTH(Packages!$K$6,Packages!$L$6+Packages!$M$6+Packages!$N$6-1),"U",IF(AE$4&lt;=Packages!$U$6,"G",IF(AE$4&lt;=Packages!$V$6,"S","")))))))</f>
        <v/>
      </c>
      <c r="AF6" s="64" t="str">
        <f>IF(AF$4&lt;Packages!$K$6,"",IF(EOMONTH(AF$4,0)=Packages!$U$6,"G",IF(AF$4&lt;=EOMONTH(Packages!$K$6,Packages!$L$6-1),"D",IF(AF$4&lt;=EOMONTH(Packages!$K$6,Packages!$L$6+Packages!$M$6-1),"B",IF(AF$4&lt;=EOMONTH(Packages!$K$6,Packages!$L$6+Packages!$M$6+Packages!$N$6-1),"U",IF(AF$4&lt;=Packages!$U$6,"G",IF(AF$4&lt;=Packages!$V$6,"S","")))))))</f>
        <v/>
      </c>
      <c r="AG6" s="64" t="str">
        <f>IF(AG$4&lt;Packages!$K$6,"",IF(EOMONTH(AG$4,0)=Packages!$U$6,"G",IF(AG$4&lt;=EOMONTH(Packages!$K$6,Packages!$L$6-1),"D",IF(AG$4&lt;=EOMONTH(Packages!$K$6,Packages!$L$6+Packages!$M$6-1),"B",IF(AG$4&lt;=EOMONTH(Packages!$K$6,Packages!$L$6+Packages!$M$6+Packages!$N$6-1),"U",IF(AG$4&lt;=Packages!$U$6,"G",IF(AG$4&lt;=Packages!$V$6,"S","")))))))</f>
        <v/>
      </c>
      <c r="AH6" s="64" t="str">
        <f>IF(AH$4&lt;Packages!$K$6,"",IF(EOMONTH(AH$4,0)=Packages!$U$6,"G",IF(AH$4&lt;=EOMONTH(Packages!$K$6,Packages!$L$6-1),"D",IF(AH$4&lt;=EOMONTH(Packages!$K$6,Packages!$L$6+Packages!$M$6-1),"B",IF(AH$4&lt;=EOMONTH(Packages!$K$6,Packages!$L$6+Packages!$M$6+Packages!$N$6-1),"U",IF(AH$4&lt;=Packages!$U$6,"G",IF(AH$4&lt;=Packages!$V$6,"S","")))))))</f>
        <v/>
      </c>
      <c r="AI6" s="64" t="str">
        <f>IF(AI$4&lt;Packages!$K$6,"",IF(EOMONTH(AI$4,0)=Packages!$U$6,"G",IF(AI$4&lt;=EOMONTH(Packages!$K$6,Packages!$L$6-1),"D",IF(AI$4&lt;=EOMONTH(Packages!$K$6,Packages!$L$6+Packages!$M$6-1),"B",IF(AI$4&lt;=EOMONTH(Packages!$K$6,Packages!$L$6+Packages!$M$6+Packages!$N$6-1),"U",IF(AI$4&lt;=Packages!$U$6,"G",IF(AI$4&lt;=Packages!$V$6,"S","")))))))</f>
        <v/>
      </c>
      <c r="AJ6" s="64" t="str">
        <f>IF(AJ$4&lt;Packages!$K$6,"",IF(EOMONTH(AJ$4,0)=Packages!$U$6,"G",IF(AJ$4&lt;=EOMONTH(Packages!$K$6,Packages!$L$6-1),"D",IF(AJ$4&lt;=EOMONTH(Packages!$K$6,Packages!$L$6+Packages!$M$6-1),"B",IF(AJ$4&lt;=EOMONTH(Packages!$K$6,Packages!$L$6+Packages!$M$6+Packages!$N$6-1),"U",IF(AJ$4&lt;=Packages!$U$6,"G",IF(AJ$4&lt;=Packages!$V$6,"S","")))))))</f>
        <v/>
      </c>
      <c r="AK6" s="64" t="str">
        <f>IF(AK$4&lt;Packages!$K$6,"",IF(EOMONTH(AK$4,0)=Packages!$U$6,"G",IF(AK$4&lt;=EOMONTH(Packages!$K$6,Packages!$L$6-1),"D",IF(AK$4&lt;=EOMONTH(Packages!$K$6,Packages!$L$6+Packages!$M$6-1),"B",IF(AK$4&lt;=EOMONTH(Packages!$K$6,Packages!$L$6+Packages!$M$6+Packages!$N$6-1),"U",IF(AK$4&lt;=Packages!$U$6,"G",IF(AK$4&lt;=Packages!$V$6,"S","")))))))</f>
        <v/>
      </c>
      <c r="AL6" s="64" t="str">
        <f>IF(AL$4&lt;Packages!$K$6,"",IF(EOMONTH(AL$4,0)=Packages!$U$6,"G",IF(AL$4&lt;=EOMONTH(Packages!$K$6,Packages!$L$6-1),"D",IF(AL$4&lt;=EOMONTH(Packages!$K$6,Packages!$L$6+Packages!$M$6-1),"B",IF(AL$4&lt;=EOMONTH(Packages!$K$6,Packages!$L$6+Packages!$M$6+Packages!$N$6-1),"U",IF(AL$4&lt;=Packages!$U$6,"G",IF(AL$4&lt;=Packages!$V$6,"S","")))))))</f>
        <v/>
      </c>
      <c r="AM6" s="64" t="str">
        <f>IF(AM$4&lt;Packages!$K$6,"",IF(EOMONTH(AM$4,0)=Packages!$U$6,"G",IF(AM$4&lt;=EOMONTH(Packages!$K$6,Packages!$L$6-1),"D",IF(AM$4&lt;=EOMONTH(Packages!$K$6,Packages!$L$6+Packages!$M$6-1),"B",IF(AM$4&lt;=EOMONTH(Packages!$K$6,Packages!$L$6+Packages!$M$6+Packages!$N$6-1),"U",IF(AM$4&lt;=Packages!$U$6,"G",IF(AM$4&lt;=Packages!$V$6,"S","")))))))</f>
        <v/>
      </c>
      <c r="AN6" s="64" t="str">
        <f>IF(AN$4&lt;Packages!$K$6,"",IF(EOMONTH(AN$4,0)=Packages!$U$6,"G",IF(AN$4&lt;=EOMONTH(Packages!$K$6,Packages!$L$6-1),"D",IF(AN$4&lt;=EOMONTH(Packages!$K$6,Packages!$L$6+Packages!$M$6-1),"B",IF(AN$4&lt;=EOMONTH(Packages!$K$6,Packages!$L$6+Packages!$M$6+Packages!$N$6-1),"U",IF(AN$4&lt;=Packages!$U$6,"G",IF(AN$4&lt;=Packages!$V$6,"S","")))))))</f>
        <v/>
      </c>
      <c r="AO6" s="64" t="str">
        <f>IF(AO$4&lt;Packages!$K$6,"",IF(EOMONTH(AO$4,0)=Packages!$U$6,"G",IF(AO$4&lt;=EOMONTH(Packages!$K$6,Packages!$L$6-1),"D",IF(AO$4&lt;=EOMONTH(Packages!$K$6,Packages!$L$6+Packages!$M$6-1),"B",IF(AO$4&lt;=EOMONTH(Packages!$K$6,Packages!$L$6+Packages!$M$6+Packages!$N$6-1),"U",IF(AO$4&lt;=Packages!$U$6,"G",IF(AO$4&lt;=Packages!$V$6,"S","")))))))</f>
        <v/>
      </c>
    </row>
    <row r="7" ht="30" customHeight="1" spans="1:41" x14ac:dyDescent="0.25">
      <c r="A7" s="10" t="str">
        <f>Packages!A7</f>
        <v>WP3</v>
      </c>
      <c r="B7" s="11" t="str">
        <f>Packages!B7</f>
        <v>CM licence services (non-scope renewal &amp; brand inclusion; scope new, renewal &amp; brand inclusion) + common suspension / cancellation / withdrawal</v>
      </c>
      <c r="C7" s="64" t="str">
        <f>IF(C$4&lt;Packages!$K$7,"",IF(EOMONTH(C$4,0)=Packages!$U$7,"G",IF(C$4&lt;=EOMONTH(Packages!$K$7,Packages!$L$7-1),"D",IF(C$4&lt;=EOMONTH(Packages!$K$7,Packages!$L$7+Packages!$M$7-1),"B",IF(C$4&lt;=EOMONTH(Packages!$K$7,Packages!$L$7+Packages!$M$7+Packages!$N$7-1),"U",IF(C$4&lt;=Packages!$U$7,"G",IF(C$4&lt;=Packages!$V$7,"S","")))))))</f>
        <v/>
      </c>
      <c r="D7" s="64" t="str">
        <f>IF(D$4&lt;Packages!$K$7,"",IF(EOMONTH(D$4,0)=Packages!$U$7,"G",IF(D$4&lt;=EOMONTH(Packages!$K$7,Packages!$L$7-1),"D",IF(D$4&lt;=EOMONTH(Packages!$K$7,Packages!$L$7+Packages!$M$7-1),"B",IF(D$4&lt;=EOMONTH(Packages!$K$7,Packages!$L$7+Packages!$M$7+Packages!$N$7-1),"U",IF(D$4&lt;=Packages!$U$7,"G",IF(D$4&lt;=Packages!$V$7,"S","")))))))</f>
        <v/>
      </c>
      <c r="E7" s="64" t="str">
        <f>IF(E$4&lt;Packages!$K$7,"",IF(EOMONTH(E$4,0)=Packages!$U$7,"G",IF(E$4&lt;=EOMONTH(Packages!$K$7,Packages!$L$7-1),"D",IF(E$4&lt;=EOMONTH(Packages!$K$7,Packages!$L$7+Packages!$M$7-1),"B",IF(E$4&lt;=EOMONTH(Packages!$K$7,Packages!$L$7+Packages!$M$7+Packages!$N$7-1),"U",IF(E$4&lt;=Packages!$U$7,"G",IF(E$4&lt;=Packages!$V$7,"S","")))))))</f>
        <v/>
      </c>
      <c r="F7" s="64" t="str">
        <f>IF(F$4&lt;Packages!$K$7,"",IF(EOMONTH(F$4,0)=Packages!$U$7,"G",IF(F$4&lt;=EOMONTH(Packages!$K$7,Packages!$L$7-1),"D",IF(F$4&lt;=EOMONTH(Packages!$K$7,Packages!$L$7+Packages!$M$7-1),"B",IF(F$4&lt;=EOMONTH(Packages!$K$7,Packages!$L$7+Packages!$M$7+Packages!$N$7-1),"U",IF(F$4&lt;=Packages!$U$7,"G",IF(F$4&lt;=Packages!$V$7,"S","")))))))</f>
        <v/>
      </c>
      <c r="G7" s="64" t="str">
        <f>IF(G$4&lt;Packages!$K$7,"",IF(EOMONTH(G$4,0)=Packages!$U$7,"G",IF(G$4&lt;=EOMONTH(Packages!$K$7,Packages!$L$7-1),"D",IF(G$4&lt;=EOMONTH(Packages!$K$7,Packages!$L$7+Packages!$M$7-1),"B",IF(G$4&lt;=EOMONTH(Packages!$K$7,Packages!$L$7+Packages!$M$7+Packages!$N$7-1),"U",IF(G$4&lt;=Packages!$U$7,"G",IF(G$4&lt;=Packages!$V$7,"S","")))))))</f>
        <v/>
      </c>
      <c r="H7" s="64" t="str">
        <f>IF(H$4&lt;Packages!$K$7,"",IF(EOMONTH(H$4,0)=Packages!$U$7,"G",IF(H$4&lt;=EOMONTH(Packages!$K$7,Packages!$L$7-1),"D",IF(H$4&lt;=EOMONTH(Packages!$K$7,Packages!$L$7+Packages!$M$7-1),"B",IF(H$4&lt;=EOMONTH(Packages!$K$7,Packages!$L$7+Packages!$M$7+Packages!$N$7-1),"U",IF(H$4&lt;=Packages!$U$7,"G",IF(H$4&lt;=Packages!$V$7,"S","")))))))</f>
        <v/>
      </c>
      <c r="I7" s="64" t="str">
        <f>IF(I$4&lt;Packages!$K$7,"",IF(EOMONTH(I$4,0)=Packages!$U$7,"G",IF(I$4&lt;=EOMONTH(Packages!$K$7,Packages!$L$7-1),"D",IF(I$4&lt;=EOMONTH(Packages!$K$7,Packages!$L$7+Packages!$M$7-1),"B",IF(I$4&lt;=EOMONTH(Packages!$K$7,Packages!$L$7+Packages!$M$7+Packages!$N$7-1),"U",IF(I$4&lt;=Packages!$U$7,"G",IF(I$4&lt;=Packages!$V$7,"S","")))))))</f>
        <v/>
      </c>
      <c r="J7" s="64" t="str">
        <f>IF(J$4&lt;Packages!$K$7,"",IF(EOMONTH(J$4,0)=Packages!$U$7,"G",IF(J$4&lt;=EOMONTH(Packages!$K$7,Packages!$L$7-1),"D",IF(J$4&lt;=EOMONTH(Packages!$K$7,Packages!$L$7+Packages!$M$7-1),"B",IF(J$4&lt;=EOMONTH(Packages!$K$7,Packages!$L$7+Packages!$M$7+Packages!$N$7-1),"U",IF(J$4&lt;=Packages!$U$7,"G",IF(J$4&lt;=Packages!$V$7,"S","")))))))</f>
        <v/>
      </c>
      <c r="K7" s="64" t="str">
        <f>IF(K$4&lt;Packages!$K$7,"",IF(EOMONTH(K$4,0)=Packages!$U$7,"G",IF(K$4&lt;=EOMONTH(Packages!$K$7,Packages!$L$7-1),"D",IF(K$4&lt;=EOMONTH(Packages!$K$7,Packages!$L$7+Packages!$M$7-1),"B",IF(K$4&lt;=EOMONTH(Packages!$K$7,Packages!$L$7+Packages!$M$7+Packages!$N$7-1),"U",IF(K$4&lt;=Packages!$U$7,"G",IF(K$4&lt;=Packages!$V$7,"S","")))))))</f>
        <v>D</v>
      </c>
      <c r="L7" s="64" t="str">
        <f>IF(L$4&lt;Packages!$K$7,"",IF(EOMONTH(L$4,0)=Packages!$U$7,"G",IF(L$4&lt;=EOMONTH(Packages!$K$7,Packages!$L$7-1),"D",IF(L$4&lt;=EOMONTH(Packages!$K$7,Packages!$L$7+Packages!$M$7-1),"B",IF(L$4&lt;=EOMONTH(Packages!$K$7,Packages!$L$7+Packages!$M$7+Packages!$N$7-1),"U",IF(L$4&lt;=Packages!$U$7,"G",IF(L$4&lt;=Packages!$V$7,"S","")))))))</f>
        <v>B</v>
      </c>
      <c r="M7" s="64" t="str">
        <f>IF(M$4&lt;Packages!$K$7,"",IF(EOMONTH(M$4,0)=Packages!$U$7,"G",IF(M$4&lt;=EOMONTH(Packages!$K$7,Packages!$L$7-1),"D",IF(M$4&lt;=EOMONTH(Packages!$K$7,Packages!$L$7+Packages!$M$7-1),"B",IF(M$4&lt;=EOMONTH(Packages!$K$7,Packages!$L$7+Packages!$M$7+Packages!$N$7-1),"U",IF(M$4&lt;=Packages!$U$7,"G",IF(M$4&lt;=Packages!$V$7,"S","")))))))</f>
        <v>G</v>
      </c>
      <c r="N7" s="64" t="str">
        <f>IF(N$4&lt;Packages!$K$7,"",IF(EOMONTH(N$4,0)=Packages!$U$7,"G",IF(N$4&lt;=EOMONTH(Packages!$K$7,Packages!$L$7-1),"D",IF(N$4&lt;=EOMONTH(Packages!$K$7,Packages!$L$7+Packages!$M$7-1),"B",IF(N$4&lt;=EOMONTH(Packages!$K$7,Packages!$L$7+Packages!$M$7+Packages!$N$7-1),"U",IF(N$4&lt;=Packages!$U$7,"G",IF(N$4&lt;=Packages!$V$7,"S","")))))))</f>
        <v>S</v>
      </c>
      <c r="O7" s="64" t="str">
        <f>IF(O$4&lt;Packages!$K$7,"",IF(EOMONTH(O$4,0)=Packages!$U$7,"G",IF(O$4&lt;=EOMONTH(Packages!$K$7,Packages!$L$7-1),"D",IF(O$4&lt;=EOMONTH(Packages!$K$7,Packages!$L$7+Packages!$M$7-1),"B",IF(O$4&lt;=EOMONTH(Packages!$K$7,Packages!$L$7+Packages!$M$7+Packages!$N$7-1),"U",IF(O$4&lt;=Packages!$U$7,"G",IF(O$4&lt;=Packages!$V$7,"S","")))))))</f>
        <v>S</v>
      </c>
      <c r="P7" s="64" t="str">
        <f>IF(P$4&lt;Packages!$K$7,"",IF(EOMONTH(P$4,0)=Packages!$U$7,"G",IF(P$4&lt;=EOMONTH(Packages!$K$7,Packages!$L$7-1),"D",IF(P$4&lt;=EOMONTH(Packages!$K$7,Packages!$L$7+Packages!$M$7-1),"B",IF(P$4&lt;=EOMONTH(Packages!$K$7,Packages!$L$7+Packages!$M$7+Packages!$N$7-1),"U",IF(P$4&lt;=Packages!$U$7,"G",IF(P$4&lt;=Packages!$V$7,"S","")))))))</f>
        <v>S</v>
      </c>
      <c r="Q7" s="64" t="str">
        <f>IF(Q$4&lt;Packages!$K$7,"",IF(EOMONTH(Q$4,0)=Packages!$U$7,"G",IF(Q$4&lt;=EOMONTH(Packages!$K$7,Packages!$L$7-1),"D",IF(Q$4&lt;=EOMONTH(Packages!$K$7,Packages!$L$7+Packages!$M$7-1),"B",IF(Q$4&lt;=EOMONTH(Packages!$K$7,Packages!$L$7+Packages!$M$7+Packages!$N$7-1),"U",IF(Q$4&lt;=Packages!$U$7,"G",IF(Q$4&lt;=Packages!$V$7,"S","")))))))</f>
        <v/>
      </c>
      <c r="R7" s="64" t="str">
        <f>IF(R$4&lt;Packages!$K$7,"",IF(EOMONTH(R$4,0)=Packages!$U$7,"G",IF(R$4&lt;=EOMONTH(Packages!$K$7,Packages!$L$7-1),"D",IF(R$4&lt;=EOMONTH(Packages!$K$7,Packages!$L$7+Packages!$M$7-1),"B",IF(R$4&lt;=EOMONTH(Packages!$K$7,Packages!$L$7+Packages!$M$7+Packages!$N$7-1),"U",IF(R$4&lt;=Packages!$U$7,"G",IF(R$4&lt;=Packages!$V$7,"S","")))))))</f>
        <v/>
      </c>
      <c r="S7" s="64" t="str">
        <f>IF(S$4&lt;Packages!$K$7,"",IF(EOMONTH(S$4,0)=Packages!$U$7,"G",IF(S$4&lt;=EOMONTH(Packages!$K$7,Packages!$L$7-1),"D",IF(S$4&lt;=EOMONTH(Packages!$K$7,Packages!$L$7+Packages!$M$7-1),"B",IF(S$4&lt;=EOMONTH(Packages!$K$7,Packages!$L$7+Packages!$M$7+Packages!$N$7-1),"U",IF(S$4&lt;=Packages!$U$7,"G",IF(S$4&lt;=Packages!$V$7,"S","")))))))</f>
        <v/>
      </c>
      <c r="T7" s="64" t="str">
        <f>IF(T$4&lt;Packages!$K$7,"",IF(EOMONTH(T$4,0)=Packages!$U$7,"G",IF(T$4&lt;=EOMONTH(Packages!$K$7,Packages!$L$7-1),"D",IF(T$4&lt;=EOMONTH(Packages!$K$7,Packages!$L$7+Packages!$M$7-1),"B",IF(T$4&lt;=EOMONTH(Packages!$K$7,Packages!$L$7+Packages!$M$7+Packages!$N$7-1),"U",IF(T$4&lt;=Packages!$U$7,"G",IF(T$4&lt;=Packages!$V$7,"S","")))))))</f>
        <v/>
      </c>
      <c r="U7" s="64" t="str">
        <f>IF(U$4&lt;Packages!$K$7,"",IF(EOMONTH(U$4,0)=Packages!$U$7,"G",IF(U$4&lt;=EOMONTH(Packages!$K$7,Packages!$L$7-1),"D",IF(U$4&lt;=EOMONTH(Packages!$K$7,Packages!$L$7+Packages!$M$7-1),"B",IF(U$4&lt;=EOMONTH(Packages!$K$7,Packages!$L$7+Packages!$M$7+Packages!$N$7-1),"U",IF(U$4&lt;=Packages!$U$7,"G",IF(U$4&lt;=Packages!$V$7,"S","")))))))</f>
        <v/>
      </c>
      <c r="V7" s="64" t="str">
        <f>IF(V$4&lt;Packages!$K$7,"",IF(EOMONTH(V$4,0)=Packages!$U$7,"G",IF(V$4&lt;=EOMONTH(Packages!$K$7,Packages!$L$7-1),"D",IF(V$4&lt;=EOMONTH(Packages!$K$7,Packages!$L$7+Packages!$M$7-1),"B",IF(V$4&lt;=EOMONTH(Packages!$K$7,Packages!$L$7+Packages!$M$7+Packages!$N$7-1),"U",IF(V$4&lt;=Packages!$U$7,"G",IF(V$4&lt;=Packages!$V$7,"S","")))))))</f>
        <v/>
      </c>
      <c r="W7" s="64" t="str">
        <f>IF(W$4&lt;Packages!$K$7,"",IF(EOMONTH(W$4,0)=Packages!$U$7,"G",IF(W$4&lt;=EOMONTH(Packages!$K$7,Packages!$L$7-1),"D",IF(W$4&lt;=EOMONTH(Packages!$K$7,Packages!$L$7+Packages!$M$7-1),"B",IF(W$4&lt;=EOMONTH(Packages!$K$7,Packages!$L$7+Packages!$M$7+Packages!$N$7-1),"U",IF(W$4&lt;=Packages!$U$7,"G",IF(W$4&lt;=Packages!$V$7,"S","")))))))</f>
        <v/>
      </c>
      <c r="X7" s="64" t="str">
        <f>IF(X$4&lt;Packages!$K$7,"",IF(EOMONTH(X$4,0)=Packages!$U$7,"G",IF(X$4&lt;=EOMONTH(Packages!$K$7,Packages!$L$7-1),"D",IF(X$4&lt;=EOMONTH(Packages!$K$7,Packages!$L$7+Packages!$M$7-1),"B",IF(X$4&lt;=EOMONTH(Packages!$K$7,Packages!$L$7+Packages!$M$7+Packages!$N$7-1),"U",IF(X$4&lt;=Packages!$U$7,"G",IF(X$4&lt;=Packages!$V$7,"S","")))))))</f>
        <v/>
      </c>
      <c r="Y7" s="64" t="str">
        <f>IF(Y$4&lt;Packages!$K$7,"",IF(EOMONTH(Y$4,0)=Packages!$U$7,"G",IF(Y$4&lt;=EOMONTH(Packages!$K$7,Packages!$L$7-1),"D",IF(Y$4&lt;=EOMONTH(Packages!$K$7,Packages!$L$7+Packages!$M$7-1),"B",IF(Y$4&lt;=EOMONTH(Packages!$K$7,Packages!$L$7+Packages!$M$7+Packages!$N$7-1),"U",IF(Y$4&lt;=Packages!$U$7,"G",IF(Y$4&lt;=Packages!$V$7,"S","")))))))</f>
        <v/>
      </c>
      <c r="Z7" s="64" t="str">
        <f>IF(Z$4&lt;Packages!$K$7,"",IF(EOMONTH(Z$4,0)=Packages!$U$7,"G",IF(Z$4&lt;=EOMONTH(Packages!$K$7,Packages!$L$7-1),"D",IF(Z$4&lt;=EOMONTH(Packages!$K$7,Packages!$L$7+Packages!$M$7-1),"B",IF(Z$4&lt;=EOMONTH(Packages!$K$7,Packages!$L$7+Packages!$M$7+Packages!$N$7-1),"U",IF(Z$4&lt;=Packages!$U$7,"G",IF(Z$4&lt;=Packages!$V$7,"S","")))))))</f>
        <v/>
      </c>
      <c r="AA7" s="64" t="str">
        <f>IF(AA$4&lt;Packages!$K$7,"",IF(EOMONTH(AA$4,0)=Packages!$U$7,"G",IF(AA$4&lt;=EOMONTH(Packages!$K$7,Packages!$L$7-1),"D",IF(AA$4&lt;=EOMONTH(Packages!$K$7,Packages!$L$7+Packages!$M$7-1),"B",IF(AA$4&lt;=EOMONTH(Packages!$K$7,Packages!$L$7+Packages!$M$7+Packages!$N$7-1),"U",IF(AA$4&lt;=Packages!$U$7,"G",IF(AA$4&lt;=Packages!$V$7,"S","")))))))</f>
        <v/>
      </c>
      <c r="AB7" s="64" t="str">
        <f>IF(AB$4&lt;Packages!$K$7,"",IF(EOMONTH(AB$4,0)=Packages!$U$7,"G",IF(AB$4&lt;=EOMONTH(Packages!$K$7,Packages!$L$7-1),"D",IF(AB$4&lt;=EOMONTH(Packages!$K$7,Packages!$L$7+Packages!$M$7-1),"B",IF(AB$4&lt;=EOMONTH(Packages!$K$7,Packages!$L$7+Packages!$M$7+Packages!$N$7-1),"U",IF(AB$4&lt;=Packages!$U$7,"G",IF(AB$4&lt;=Packages!$V$7,"S","")))))))</f>
        <v/>
      </c>
      <c r="AC7" s="64" t="str">
        <f>IF(AC$4&lt;Packages!$K$7,"",IF(EOMONTH(AC$4,0)=Packages!$U$7,"G",IF(AC$4&lt;=EOMONTH(Packages!$K$7,Packages!$L$7-1),"D",IF(AC$4&lt;=EOMONTH(Packages!$K$7,Packages!$L$7+Packages!$M$7-1),"B",IF(AC$4&lt;=EOMONTH(Packages!$K$7,Packages!$L$7+Packages!$M$7+Packages!$N$7-1),"U",IF(AC$4&lt;=Packages!$U$7,"G",IF(AC$4&lt;=Packages!$V$7,"S","")))))))</f>
        <v/>
      </c>
      <c r="AD7" s="64" t="str">
        <f>IF(AD$4&lt;Packages!$K$7,"",IF(EOMONTH(AD$4,0)=Packages!$U$7,"G",IF(AD$4&lt;=EOMONTH(Packages!$K$7,Packages!$L$7-1),"D",IF(AD$4&lt;=EOMONTH(Packages!$K$7,Packages!$L$7+Packages!$M$7-1),"B",IF(AD$4&lt;=EOMONTH(Packages!$K$7,Packages!$L$7+Packages!$M$7+Packages!$N$7-1),"U",IF(AD$4&lt;=Packages!$U$7,"G",IF(AD$4&lt;=Packages!$V$7,"S","")))))))</f>
        <v/>
      </c>
      <c r="AE7" s="64" t="str">
        <f>IF(AE$4&lt;Packages!$K$7,"",IF(EOMONTH(AE$4,0)=Packages!$U$7,"G",IF(AE$4&lt;=EOMONTH(Packages!$K$7,Packages!$L$7-1),"D",IF(AE$4&lt;=EOMONTH(Packages!$K$7,Packages!$L$7+Packages!$M$7-1),"B",IF(AE$4&lt;=EOMONTH(Packages!$K$7,Packages!$L$7+Packages!$M$7+Packages!$N$7-1),"U",IF(AE$4&lt;=Packages!$U$7,"G",IF(AE$4&lt;=Packages!$V$7,"S","")))))))</f>
        <v/>
      </c>
      <c r="AF7" s="64" t="str">
        <f>IF(AF$4&lt;Packages!$K$7,"",IF(EOMONTH(AF$4,0)=Packages!$U$7,"G",IF(AF$4&lt;=EOMONTH(Packages!$K$7,Packages!$L$7-1),"D",IF(AF$4&lt;=EOMONTH(Packages!$K$7,Packages!$L$7+Packages!$M$7-1),"B",IF(AF$4&lt;=EOMONTH(Packages!$K$7,Packages!$L$7+Packages!$M$7+Packages!$N$7-1),"U",IF(AF$4&lt;=Packages!$U$7,"G",IF(AF$4&lt;=Packages!$V$7,"S","")))))))</f>
        <v/>
      </c>
      <c r="AG7" s="64" t="str">
        <f>IF(AG$4&lt;Packages!$K$7,"",IF(EOMONTH(AG$4,0)=Packages!$U$7,"G",IF(AG$4&lt;=EOMONTH(Packages!$K$7,Packages!$L$7-1),"D",IF(AG$4&lt;=EOMONTH(Packages!$K$7,Packages!$L$7+Packages!$M$7-1),"B",IF(AG$4&lt;=EOMONTH(Packages!$K$7,Packages!$L$7+Packages!$M$7+Packages!$N$7-1),"U",IF(AG$4&lt;=Packages!$U$7,"G",IF(AG$4&lt;=Packages!$V$7,"S","")))))))</f>
        <v/>
      </c>
      <c r="AH7" s="64" t="str">
        <f>IF(AH$4&lt;Packages!$K$7,"",IF(EOMONTH(AH$4,0)=Packages!$U$7,"G",IF(AH$4&lt;=EOMONTH(Packages!$K$7,Packages!$L$7-1),"D",IF(AH$4&lt;=EOMONTH(Packages!$K$7,Packages!$L$7+Packages!$M$7-1),"B",IF(AH$4&lt;=EOMONTH(Packages!$K$7,Packages!$L$7+Packages!$M$7+Packages!$N$7-1),"U",IF(AH$4&lt;=Packages!$U$7,"G",IF(AH$4&lt;=Packages!$V$7,"S","")))))))</f>
        <v/>
      </c>
      <c r="AI7" s="64" t="str">
        <f>IF(AI$4&lt;Packages!$K$7,"",IF(EOMONTH(AI$4,0)=Packages!$U$7,"G",IF(AI$4&lt;=EOMONTH(Packages!$K$7,Packages!$L$7-1),"D",IF(AI$4&lt;=EOMONTH(Packages!$K$7,Packages!$L$7+Packages!$M$7-1),"B",IF(AI$4&lt;=EOMONTH(Packages!$K$7,Packages!$L$7+Packages!$M$7+Packages!$N$7-1),"U",IF(AI$4&lt;=Packages!$U$7,"G",IF(AI$4&lt;=Packages!$V$7,"S","")))))))</f>
        <v/>
      </c>
      <c r="AJ7" s="64" t="str">
        <f>IF(AJ$4&lt;Packages!$K$7,"",IF(EOMONTH(AJ$4,0)=Packages!$U$7,"G",IF(AJ$4&lt;=EOMONTH(Packages!$K$7,Packages!$L$7-1),"D",IF(AJ$4&lt;=EOMONTH(Packages!$K$7,Packages!$L$7+Packages!$M$7-1),"B",IF(AJ$4&lt;=EOMONTH(Packages!$K$7,Packages!$L$7+Packages!$M$7+Packages!$N$7-1),"U",IF(AJ$4&lt;=Packages!$U$7,"G",IF(AJ$4&lt;=Packages!$V$7,"S","")))))))</f>
        <v/>
      </c>
      <c r="AK7" s="64" t="str">
        <f>IF(AK$4&lt;Packages!$K$7,"",IF(EOMONTH(AK$4,0)=Packages!$U$7,"G",IF(AK$4&lt;=EOMONTH(Packages!$K$7,Packages!$L$7-1),"D",IF(AK$4&lt;=EOMONTH(Packages!$K$7,Packages!$L$7+Packages!$M$7-1),"B",IF(AK$4&lt;=EOMONTH(Packages!$K$7,Packages!$L$7+Packages!$M$7+Packages!$N$7-1),"U",IF(AK$4&lt;=Packages!$U$7,"G",IF(AK$4&lt;=Packages!$V$7,"S","")))))))</f>
        <v/>
      </c>
      <c r="AL7" s="64" t="str">
        <f>IF(AL$4&lt;Packages!$K$7,"",IF(EOMONTH(AL$4,0)=Packages!$U$7,"G",IF(AL$4&lt;=EOMONTH(Packages!$K$7,Packages!$L$7-1),"D",IF(AL$4&lt;=EOMONTH(Packages!$K$7,Packages!$L$7+Packages!$M$7-1),"B",IF(AL$4&lt;=EOMONTH(Packages!$K$7,Packages!$L$7+Packages!$M$7+Packages!$N$7-1),"U",IF(AL$4&lt;=Packages!$U$7,"G",IF(AL$4&lt;=Packages!$V$7,"S","")))))))</f>
        <v/>
      </c>
      <c r="AM7" s="64" t="str">
        <f>IF(AM$4&lt;Packages!$K$7,"",IF(EOMONTH(AM$4,0)=Packages!$U$7,"G",IF(AM$4&lt;=EOMONTH(Packages!$K$7,Packages!$L$7-1),"D",IF(AM$4&lt;=EOMONTH(Packages!$K$7,Packages!$L$7+Packages!$M$7-1),"B",IF(AM$4&lt;=EOMONTH(Packages!$K$7,Packages!$L$7+Packages!$M$7+Packages!$N$7-1),"U",IF(AM$4&lt;=Packages!$U$7,"G",IF(AM$4&lt;=Packages!$V$7,"S","")))))))</f>
        <v/>
      </c>
      <c r="AN7" s="64" t="str">
        <f>IF(AN$4&lt;Packages!$K$7,"",IF(EOMONTH(AN$4,0)=Packages!$U$7,"G",IF(AN$4&lt;=EOMONTH(Packages!$K$7,Packages!$L$7-1),"D",IF(AN$4&lt;=EOMONTH(Packages!$K$7,Packages!$L$7+Packages!$M$7-1),"B",IF(AN$4&lt;=EOMONTH(Packages!$K$7,Packages!$L$7+Packages!$M$7+Packages!$N$7-1),"U",IF(AN$4&lt;=Packages!$U$7,"G",IF(AN$4&lt;=Packages!$V$7,"S","")))))))</f>
        <v/>
      </c>
      <c r="AO7" s="64" t="str">
        <f>IF(AO$4&lt;Packages!$K$7,"",IF(EOMONTH(AO$4,0)=Packages!$U$7,"G",IF(AO$4&lt;=EOMONTH(Packages!$K$7,Packages!$L$7-1),"D",IF(AO$4&lt;=EOMONTH(Packages!$K$7,Packages!$L$7+Packages!$M$7-1),"B",IF(AO$4&lt;=EOMONTH(Packages!$K$7,Packages!$L$7+Packages!$M$7+Packages!$N$7-1),"U",IF(AO$4&lt;=Packages!$U$7,"G",IF(AO$4&lt;=Packages!$V$7,"S","")))))))</f>
        <v/>
      </c>
    </row>
    <row r="8" ht="30" customHeight="1" spans="1:41" x14ac:dyDescent="0.25">
      <c r="A8" s="10" t="str">
        <f>Packages!A8</f>
        <v>WP4</v>
      </c>
      <c r="B8" s="11" t="str">
        <f>Packages!B8</f>
        <v>Enforcement &amp; field metrology: Mobile Court, Surveillance, Verification, Tank Calibration, Metrology Licence, Storage Tank Calibration</v>
      </c>
      <c r="C8" s="64" t="str">
        <f>IF(C$4&lt;Packages!$K$8,"",IF(EOMONTH(C$4,0)=Packages!$U$8,"G",IF(C$4&lt;=EOMONTH(Packages!$K$8,Packages!$L$8-1),"D",IF(C$4&lt;=EOMONTH(Packages!$K$8,Packages!$L$8+Packages!$M$8-1),"B",IF(C$4&lt;=EOMONTH(Packages!$K$8,Packages!$L$8+Packages!$M$8+Packages!$N$8-1),"U",IF(C$4&lt;=Packages!$U$8,"G",IF(C$4&lt;=Packages!$V$8,"S","")))))))</f>
        <v/>
      </c>
      <c r="D8" s="64" t="str">
        <f>IF(D$4&lt;Packages!$K$8,"",IF(EOMONTH(D$4,0)=Packages!$U$8,"G",IF(D$4&lt;=EOMONTH(Packages!$K$8,Packages!$L$8-1),"D",IF(D$4&lt;=EOMONTH(Packages!$K$8,Packages!$L$8+Packages!$M$8-1),"B",IF(D$4&lt;=EOMONTH(Packages!$K$8,Packages!$L$8+Packages!$M$8+Packages!$N$8-1),"U",IF(D$4&lt;=Packages!$U$8,"G",IF(D$4&lt;=Packages!$V$8,"S","")))))))</f>
        <v/>
      </c>
      <c r="E8" s="64" t="str">
        <f>IF(E$4&lt;Packages!$K$8,"",IF(EOMONTH(E$4,0)=Packages!$U$8,"G",IF(E$4&lt;=EOMONTH(Packages!$K$8,Packages!$L$8-1),"D",IF(E$4&lt;=EOMONTH(Packages!$K$8,Packages!$L$8+Packages!$M$8-1),"B",IF(E$4&lt;=EOMONTH(Packages!$K$8,Packages!$L$8+Packages!$M$8+Packages!$N$8-1),"U",IF(E$4&lt;=Packages!$U$8,"G",IF(E$4&lt;=Packages!$V$8,"S","")))))))</f>
        <v/>
      </c>
      <c r="F8" s="64" t="str">
        <f>IF(F$4&lt;Packages!$K$8,"",IF(EOMONTH(F$4,0)=Packages!$U$8,"G",IF(F$4&lt;=EOMONTH(Packages!$K$8,Packages!$L$8-1),"D",IF(F$4&lt;=EOMONTH(Packages!$K$8,Packages!$L$8+Packages!$M$8-1),"B",IF(F$4&lt;=EOMONTH(Packages!$K$8,Packages!$L$8+Packages!$M$8+Packages!$N$8-1),"U",IF(F$4&lt;=Packages!$U$8,"G",IF(F$4&lt;=Packages!$V$8,"S","")))))))</f>
        <v/>
      </c>
      <c r="G8" s="64" t="str">
        <f>IF(G$4&lt;Packages!$K$8,"",IF(EOMONTH(G$4,0)=Packages!$U$8,"G",IF(G$4&lt;=EOMONTH(Packages!$K$8,Packages!$L$8-1),"D",IF(G$4&lt;=EOMONTH(Packages!$K$8,Packages!$L$8+Packages!$M$8-1),"B",IF(G$4&lt;=EOMONTH(Packages!$K$8,Packages!$L$8+Packages!$M$8+Packages!$N$8-1),"U",IF(G$4&lt;=Packages!$U$8,"G",IF(G$4&lt;=Packages!$V$8,"S","")))))))</f>
        <v/>
      </c>
      <c r="H8" s="64" t="str">
        <f>IF(H$4&lt;Packages!$K$8,"",IF(EOMONTH(H$4,0)=Packages!$U$8,"G",IF(H$4&lt;=EOMONTH(Packages!$K$8,Packages!$L$8-1),"D",IF(H$4&lt;=EOMONTH(Packages!$K$8,Packages!$L$8+Packages!$M$8-1),"B",IF(H$4&lt;=EOMONTH(Packages!$K$8,Packages!$L$8+Packages!$M$8+Packages!$N$8-1),"U",IF(H$4&lt;=Packages!$U$8,"G",IF(H$4&lt;=Packages!$V$8,"S","")))))))</f>
        <v/>
      </c>
      <c r="I8" s="64" t="str">
        <f>IF(I$4&lt;Packages!$K$8,"",IF(EOMONTH(I$4,0)=Packages!$U$8,"G",IF(I$4&lt;=EOMONTH(Packages!$K$8,Packages!$L$8-1),"D",IF(I$4&lt;=EOMONTH(Packages!$K$8,Packages!$L$8+Packages!$M$8-1),"B",IF(I$4&lt;=EOMONTH(Packages!$K$8,Packages!$L$8+Packages!$M$8+Packages!$N$8-1),"U",IF(I$4&lt;=Packages!$U$8,"G",IF(I$4&lt;=Packages!$V$8,"S","")))))))</f>
        <v/>
      </c>
      <c r="J8" s="64" t="str">
        <f>IF(J$4&lt;Packages!$K$8,"",IF(EOMONTH(J$4,0)=Packages!$U$8,"G",IF(J$4&lt;=EOMONTH(Packages!$K$8,Packages!$L$8-1),"D",IF(J$4&lt;=EOMONTH(Packages!$K$8,Packages!$L$8+Packages!$M$8-1),"B",IF(J$4&lt;=EOMONTH(Packages!$K$8,Packages!$L$8+Packages!$M$8+Packages!$N$8-1),"U",IF(J$4&lt;=Packages!$U$8,"G",IF(J$4&lt;=Packages!$V$8,"S","")))))))</f>
        <v/>
      </c>
      <c r="K8" s="64" t="str">
        <f>IF(K$4&lt;Packages!$K$8,"",IF(EOMONTH(K$4,0)=Packages!$U$8,"G",IF(K$4&lt;=EOMONTH(Packages!$K$8,Packages!$L$8-1),"D",IF(K$4&lt;=EOMONTH(Packages!$K$8,Packages!$L$8+Packages!$M$8-1),"B",IF(K$4&lt;=EOMONTH(Packages!$K$8,Packages!$L$8+Packages!$M$8+Packages!$N$8-1),"U",IF(K$4&lt;=Packages!$U$8,"G",IF(K$4&lt;=Packages!$V$8,"S","")))))))</f>
        <v/>
      </c>
      <c r="L8" s="64" t="str">
        <f>IF(L$4&lt;Packages!$K$8,"",IF(EOMONTH(L$4,0)=Packages!$U$8,"G",IF(L$4&lt;=EOMONTH(Packages!$K$8,Packages!$L$8-1),"D",IF(L$4&lt;=EOMONTH(Packages!$K$8,Packages!$L$8+Packages!$M$8-1),"B",IF(L$4&lt;=EOMONTH(Packages!$K$8,Packages!$L$8+Packages!$M$8+Packages!$N$8-1),"U",IF(L$4&lt;=Packages!$U$8,"G",IF(L$4&lt;=Packages!$V$8,"S","")))))))</f>
        <v/>
      </c>
      <c r="M8" s="64" t="str">
        <f>IF(M$4&lt;Packages!$K$8,"",IF(EOMONTH(M$4,0)=Packages!$U$8,"G",IF(M$4&lt;=EOMONTH(Packages!$K$8,Packages!$L$8-1),"D",IF(M$4&lt;=EOMONTH(Packages!$K$8,Packages!$L$8+Packages!$M$8-1),"B",IF(M$4&lt;=EOMONTH(Packages!$K$8,Packages!$L$8+Packages!$M$8+Packages!$N$8-1),"U",IF(M$4&lt;=Packages!$U$8,"G",IF(M$4&lt;=Packages!$V$8,"S","")))))))</f>
        <v/>
      </c>
      <c r="N8" s="64" t="str">
        <f>IF(N$4&lt;Packages!$K$8,"",IF(EOMONTH(N$4,0)=Packages!$U$8,"G",IF(N$4&lt;=EOMONTH(Packages!$K$8,Packages!$L$8-1),"D",IF(N$4&lt;=EOMONTH(Packages!$K$8,Packages!$L$8+Packages!$M$8-1),"B",IF(N$4&lt;=EOMONTH(Packages!$K$8,Packages!$L$8+Packages!$M$8+Packages!$N$8-1),"U",IF(N$4&lt;=Packages!$U$8,"G",IF(N$4&lt;=Packages!$V$8,"S","")))))))</f>
        <v/>
      </c>
      <c r="O8" s="64" t="str">
        <f>IF(O$4&lt;Packages!$K$8,"",IF(EOMONTH(O$4,0)=Packages!$U$8,"G",IF(O$4&lt;=EOMONTH(Packages!$K$8,Packages!$L$8-1),"D",IF(O$4&lt;=EOMONTH(Packages!$K$8,Packages!$L$8+Packages!$M$8-1),"B",IF(O$4&lt;=EOMONTH(Packages!$K$8,Packages!$L$8+Packages!$M$8+Packages!$N$8-1),"U",IF(O$4&lt;=Packages!$U$8,"G",IF(O$4&lt;=Packages!$V$8,"S","")))))))</f>
        <v>D</v>
      </c>
      <c r="P8" s="64" t="str">
        <f>IF(P$4&lt;Packages!$K$8,"",IF(EOMONTH(P$4,0)=Packages!$U$8,"G",IF(P$4&lt;=EOMONTH(Packages!$K$8,Packages!$L$8-1),"D",IF(P$4&lt;=EOMONTH(Packages!$K$8,Packages!$L$8+Packages!$M$8-1),"B",IF(P$4&lt;=EOMONTH(Packages!$K$8,Packages!$L$8+Packages!$M$8+Packages!$N$8-1),"U",IF(P$4&lt;=Packages!$U$8,"G",IF(P$4&lt;=Packages!$V$8,"S","")))))))</f>
        <v>B</v>
      </c>
      <c r="Q8" s="64" t="str">
        <f>IF(Q$4&lt;Packages!$K$8,"",IF(EOMONTH(Q$4,0)=Packages!$U$8,"G",IF(Q$4&lt;=EOMONTH(Packages!$K$8,Packages!$L$8-1),"D",IF(Q$4&lt;=EOMONTH(Packages!$K$8,Packages!$L$8+Packages!$M$8-1),"B",IF(Q$4&lt;=EOMONTH(Packages!$K$8,Packages!$L$8+Packages!$M$8+Packages!$N$8-1),"U",IF(Q$4&lt;=Packages!$U$8,"G",IF(Q$4&lt;=Packages!$V$8,"S","")))))))</f>
        <v>B</v>
      </c>
      <c r="R8" s="64" t="str">
        <f>IF(R$4&lt;Packages!$K$8,"",IF(EOMONTH(R$4,0)=Packages!$U$8,"G",IF(R$4&lt;=EOMONTH(Packages!$K$8,Packages!$L$8-1),"D",IF(R$4&lt;=EOMONTH(Packages!$K$8,Packages!$L$8+Packages!$M$8-1),"B",IF(R$4&lt;=EOMONTH(Packages!$K$8,Packages!$L$8+Packages!$M$8+Packages!$N$8-1),"U",IF(R$4&lt;=Packages!$U$8,"G",IF(R$4&lt;=Packages!$V$8,"S","")))))))</f>
        <v>B</v>
      </c>
      <c r="S8" s="64" t="str">
        <f>IF(S$4&lt;Packages!$K$8,"",IF(EOMONTH(S$4,0)=Packages!$U$8,"G",IF(S$4&lt;=EOMONTH(Packages!$K$8,Packages!$L$8-1),"D",IF(S$4&lt;=EOMONTH(Packages!$K$8,Packages!$L$8+Packages!$M$8-1),"B",IF(S$4&lt;=EOMONTH(Packages!$K$8,Packages!$L$8+Packages!$M$8+Packages!$N$8-1),"U",IF(S$4&lt;=Packages!$U$8,"G",IF(S$4&lt;=Packages!$V$8,"S","")))))))</f>
        <v>U</v>
      </c>
      <c r="T8" s="64" t="str">
        <f>IF(T$4&lt;Packages!$K$8,"",IF(EOMONTH(T$4,0)=Packages!$U$8,"G",IF(T$4&lt;=EOMONTH(Packages!$K$8,Packages!$L$8-1),"D",IF(T$4&lt;=EOMONTH(Packages!$K$8,Packages!$L$8+Packages!$M$8-1),"B",IF(T$4&lt;=EOMONTH(Packages!$K$8,Packages!$L$8+Packages!$M$8+Packages!$N$8-1),"U",IF(T$4&lt;=Packages!$U$8,"G",IF(T$4&lt;=Packages!$V$8,"S","")))))))</f>
        <v>G</v>
      </c>
      <c r="U8" s="64" t="str">
        <f>IF(U$4&lt;Packages!$K$8,"",IF(EOMONTH(U$4,0)=Packages!$U$8,"G",IF(U$4&lt;=EOMONTH(Packages!$K$8,Packages!$L$8-1),"D",IF(U$4&lt;=EOMONTH(Packages!$K$8,Packages!$L$8+Packages!$M$8-1),"B",IF(U$4&lt;=EOMONTH(Packages!$K$8,Packages!$L$8+Packages!$M$8+Packages!$N$8-1),"U",IF(U$4&lt;=Packages!$U$8,"G",IF(U$4&lt;=Packages!$V$8,"S","")))))))</f>
        <v>S</v>
      </c>
      <c r="V8" s="64" t="str">
        <f>IF(V$4&lt;Packages!$K$8,"",IF(EOMONTH(V$4,0)=Packages!$U$8,"G",IF(V$4&lt;=EOMONTH(Packages!$K$8,Packages!$L$8-1),"D",IF(V$4&lt;=EOMONTH(Packages!$K$8,Packages!$L$8+Packages!$M$8-1),"B",IF(V$4&lt;=EOMONTH(Packages!$K$8,Packages!$L$8+Packages!$M$8+Packages!$N$8-1),"U",IF(V$4&lt;=Packages!$U$8,"G",IF(V$4&lt;=Packages!$V$8,"S","")))))))</f>
        <v>S</v>
      </c>
      <c r="W8" s="64" t="str">
        <f>IF(W$4&lt;Packages!$K$8,"",IF(EOMONTH(W$4,0)=Packages!$U$8,"G",IF(W$4&lt;=EOMONTH(Packages!$K$8,Packages!$L$8-1),"D",IF(W$4&lt;=EOMONTH(Packages!$K$8,Packages!$L$8+Packages!$M$8-1),"B",IF(W$4&lt;=EOMONTH(Packages!$K$8,Packages!$L$8+Packages!$M$8+Packages!$N$8-1),"U",IF(W$4&lt;=Packages!$U$8,"G",IF(W$4&lt;=Packages!$V$8,"S","")))))))</f>
        <v>S</v>
      </c>
      <c r="X8" s="64" t="str">
        <f>IF(X$4&lt;Packages!$K$8,"",IF(EOMONTH(X$4,0)=Packages!$U$8,"G",IF(X$4&lt;=EOMONTH(Packages!$K$8,Packages!$L$8-1),"D",IF(X$4&lt;=EOMONTH(Packages!$K$8,Packages!$L$8+Packages!$M$8-1),"B",IF(X$4&lt;=EOMONTH(Packages!$K$8,Packages!$L$8+Packages!$M$8+Packages!$N$8-1),"U",IF(X$4&lt;=Packages!$U$8,"G",IF(X$4&lt;=Packages!$V$8,"S","")))))))</f>
        <v/>
      </c>
      <c r="Y8" s="64" t="str">
        <f>IF(Y$4&lt;Packages!$K$8,"",IF(EOMONTH(Y$4,0)=Packages!$U$8,"G",IF(Y$4&lt;=EOMONTH(Packages!$K$8,Packages!$L$8-1),"D",IF(Y$4&lt;=EOMONTH(Packages!$K$8,Packages!$L$8+Packages!$M$8-1),"B",IF(Y$4&lt;=EOMONTH(Packages!$K$8,Packages!$L$8+Packages!$M$8+Packages!$N$8-1),"U",IF(Y$4&lt;=Packages!$U$8,"G",IF(Y$4&lt;=Packages!$V$8,"S","")))))))</f>
        <v/>
      </c>
      <c r="Z8" s="64" t="str">
        <f>IF(Z$4&lt;Packages!$K$8,"",IF(EOMONTH(Z$4,0)=Packages!$U$8,"G",IF(Z$4&lt;=EOMONTH(Packages!$K$8,Packages!$L$8-1),"D",IF(Z$4&lt;=EOMONTH(Packages!$K$8,Packages!$L$8+Packages!$M$8-1),"B",IF(Z$4&lt;=EOMONTH(Packages!$K$8,Packages!$L$8+Packages!$M$8+Packages!$N$8-1),"U",IF(Z$4&lt;=Packages!$U$8,"G",IF(Z$4&lt;=Packages!$V$8,"S","")))))))</f>
        <v/>
      </c>
      <c r="AA8" s="64" t="str">
        <f>IF(AA$4&lt;Packages!$K$8,"",IF(EOMONTH(AA$4,0)=Packages!$U$8,"G",IF(AA$4&lt;=EOMONTH(Packages!$K$8,Packages!$L$8-1),"D",IF(AA$4&lt;=EOMONTH(Packages!$K$8,Packages!$L$8+Packages!$M$8-1),"B",IF(AA$4&lt;=EOMONTH(Packages!$K$8,Packages!$L$8+Packages!$M$8+Packages!$N$8-1),"U",IF(AA$4&lt;=Packages!$U$8,"G",IF(AA$4&lt;=Packages!$V$8,"S","")))))))</f>
        <v/>
      </c>
      <c r="AB8" s="64" t="str">
        <f>IF(AB$4&lt;Packages!$K$8,"",IF(EOMONTH(AB$4,0)=Packages!$U$8,"G",IF(AB$4&lt;=EOMONTH(Packages!$K$8,Packages!$L$8-1),"D",IF(AB$4&lt;=EOMONTH(Packages!$K$8,Packages!$L$8+Packages!$M$8-1),"B",IF(AB$4&lt;=EOMONTH(Packages!$K$8,Packages!$L$8+Packages!$M$8+Packages!$N$8-1),"U",IF(AB$4&lt;=Packages!$U$8,"G",IF(AB$4&lt;=Packages!$V$8,"S","")))))))</f>
        <v/>
      </c>
      <c r="AC8" s="64" t="str">
        <f>IF(AC$4&lt;Packages!$K$8,"",IF(EOMONTH(AC$4,0)=Packages!$U$8,"G",IF(AC$4&lt;=EOMONTH(Packages!$K$8,Packages!$L$8-1),"D",IF(AC$4&lt;=EOMONTH(Packages!$K$8,Packages!$L$8+Packages!$M$8-1),"B",IF(AC$4&lt;=EOMONTH(Packages!$K$8,Packages!$L$8+Packages!$M$8+Packages!$N$8-1),"U",IF(AC$4&lt;=Packages!$U$8,"G",IF(AC$4&lt;=Packages!$V$8,"S","")))))))</f>
        <v/>
      </c>
      <c r="AD8" s="64" t="str">
        <f>IF(AD$4&lt;Packages!$K$8,"",IF(EOMONTH(AD$4,0)=Packages!$U$8,"G",IF(AD$4&lt;=EOMONTH(Packages!$K$8,Packages!$L$8-1),"D",IF(AD$4&lt;=EOMONTH(Packages!$K$8,Packages!$L$8+Packages!$M$8-1),"B",IF(AD$4&lt;=EOMONTH(Packages!$K$8,Packages!$L$8+Packages!$M$8+Packages!$N$8-1),"U",IF(AD$4&lt;=Packages!$U$8,"G",IF(AD$4&lt;=Packages!$V$8,"S","")))))))</f>
        <v/>
      </c>
      <c r="AE8" s="64" t="str">
        <f>IF(AE$4&lt;Packages!$K$8,"",IF(EOMONTH(AE$4,0)=Packages!$U$8,"G",IF(AE$4&lt;=EOMONTH(Packages!$K$8,Packages!$L$8-1),"D",IF(AE$4&lt;=EOMONTH(Packages!$K$8,Packages!$L$8+Packages!$M$8-1),"B",IF(AE$4&lt;=EOMONTH(Packages!$K$8,Packages!$L$8+Packages!$M$8+Packages!$N$8-1),"U",IF(AE$4&lt;=Packages!$U$8,"G",IF(AE$4&lt;=Packages!$V$8,"S","")))))))</f>
        <v/>
      </c>
      <c r="AF8" s="64" t="str">
        <f>IF(AF$4&lt;Packages!$K$8,"",IF(EOMONTH(AF$4,0)=Packages!$U$8,"G",IF(AF$4&lt;=EOMONTH(Packages!$K$8,Packages!$L$8-1),"D",IF(AF$4&lt;=EOMONTH(Packages!$K$8,Packages!$L$8+Packages!$M$8-1),"B",IF(AF$4&lt;=EOMONTH(Packages!$K$8,Packages!$L$8+Packages!$M$8+Packages!$N$8-1),"U",IF(AF$4&lt;=Packages!$U$8,"G",IF(AF$4&lt;=Packages!$V$8,"S","")))))))</f>
        <v/>
      </c>
      <c r="AG8" s="64" t="str">
        <f>IF(AG$4&lt;Packages!$K$8,"",IF(EOMONTH(AG$4,0)=Packages!$U$8,"G",IF(AG$4&lt;=EOMONTH(Packages!$K$8,Packages!$L$8-1),"D",IF(AG$4&lt;=EOMONTH(Packages!$K$8,Packages!$L$8+Packages!$M$8-1),"B",IF(AG$4&lt;=EOMONTH(Packages!$K$8,Packages!$L$8+Packages!$M$8+Packages!$N$8-1),"U",IF(AG$4&lt;=Packages!$U$8,"G",IF(AG$4&lt;=Packages!$V$8,"S","")))))))</f>
        <v/>
      </c>
      <c r="AH8" s="64" t="str">
        <f>IF(AH$4&lt;Packages!$K$8,"",IF(EOMONTH(AH$4,0)=Packages!$U$8,"G",IF(AH$4&lt;=EOMONTH(Packages!$K$8,Packages!$L$8-1),"D",IF(AH$4&lt;=EOMONTH(Packages!$K$8,Packages!$L$8+Packages!$M$8-1),"B",IF(AH$4&lt;=EOMONTH(Packages!$K$8,Packages!$L$8+Packages!$M$8+Packages!$N$8-1),"U",IF(AH$4&lt;=Packages!$U$8,"G",IF(AH$4&lt;=Packages!$V$8,"S","")))))))</f>
        <v/>
      </c>
      <c r="AI8" s="64" t="str">
        <f>IF(AI$4&lt;Packages!$K$8,"",IF(EOMONTH(AI$4,0)=Packages!$U$8,"G",IF(AI$4&lt;=EOMONTH(Packages!$K$8,Packages!$L$8-1),"D",IF(AI$4&lt;=EOMONTH(Packages!$K$8,Packages!$L$8+Packages!$M$8-1),"B",IF(AI$4&lt;=EOMONTH(Packages!$K$8,Packages!$L$8+Packages!$M$8+Packages!$N$8-1),"U",IF(AI$4&lt;=Packages!$U$8,"G",IF(AI$4&lt;=Packages!$V$8,"S","")))))))</f>
        <v/>
      </c>
      <c r="AJ8" s="64" t="str">
        <f>IF(AJ$4&lt;Packages!$K$8,"",IF(EOMONTH(AJ$4,0)=Packages!$U$8,"G",IF(AJ$4&lt;=EOMONTH(Packages!$K$8,Packages!$L$8-1),"D",IF(AJ$4&lt;=EOMONTH(Packages!$K$8,Packages!$L$8+Packages!$M$8-1),"B",IF(AJ$4&lt;=EOMONTH(Packages!$K$8,Packages!$L$8+Packages!$M$8+Packages!$N$8-1),"U",IF(AJ$4&lt;=Packages!$U$8,"G",IF(AJ$4&lt;=Packages!$V$8,"S","")))))))</f>
        <v/>
      </c>
      <c r="AK8" s="64" t="str">
        <f>IF(AK$4&lt;Packages!$K$8,"",IF(EOMONTH(AK$4,0)=Packages!$U$8,"G",IF(AK$4&lt;=EOMONTH(Packages!$K$8,Packages!$L$8-1),"D",IF(AK$4&lt;=EOMONTH(Packages!$K$8,Packages!$L$8+Packages!$M$8-1),"B",IF(AK$4&lt;=EOMONTH(Packages!$K$8,Packages!$L$8+Packages!$M$8+Packages!$N$8-1),"U",IF(AK$4&lt;=Packages!$U$8,"G",IF(AK$4&lt;=Packages!$V$8,"S","")))))))</f>
        <v/>
      </c>
      <c r="AL8" s="64" t="str">
        <f>IF(AL$4&lt;Packages!$K$8,"",IF(EOMONTH(AL$4,0)=Packages!$U$8,"G",IF(AL$4&lt;=EOMONTH(Packages!$K$8,Packages!$L$8-1),"D",IF(AL$4&lt;=EOMONTH(Packages!$K$8,Packages!$L$8+Packages!$M$8-1),"B",IF(AL$4&lt;=EOMONTH(Packages!$K$8,Packages!$L$8+Packages!$M$8+Packages!$N$8-1),"U",IF(AL$4&lt;=Packages!$U$8,"G",IF(AL$4&lt;=Packages!$V$8,"S","")))))))</f>
        <v/>
      </c>
      <c r="AM8" s="64" t="str">
        <f>IF(AM$4&lt;Packages!$K$8,"",IF(EOMONTH(AM$4,0)=Packages!$U$8,"G",IF(AM$4&lt;=EOMONTH(Packages!$K$8,Packages!$L$8-1),"D",IF(AM$4&lt;=EOMONTH(Packages!$K$8,Packages!$L$8+Packages!$M$8-1),"B",IF(AM$4&lt;=EOMONTH(Packages!$K$8,Packages!$L$8+Packages!$M$8+Packages!$N$8-1),"U",IF(AM$4&lt;=Packages!$U$8,"G",IF(AM$4&lt;=Packages!$V$8,"S","")))))))</f>
        <v/>
      </c>
      <c r="AN8" s="64" t="str">
        <f>IF(AN$4&lt;Packages!$K$8,"",IF(EOMONTH(AN$4,0)=Packages!$U$8,"G",IF(AN$4&lt;=EOMONTH(Packages!$K$8,Packages!$L$8-1),"D",IF(AN$4&lt;=EOMONTH(Packages!$K$8,Packages!$L$8+Packages!$M$8-1),"B",IF(AN$4&lt;=EOMONTH(Packages!$K$8,Packages!$L$8+Packages!$M$8+Packages!$N$8-1),"U",IF(AN$4&lt;=Packages!$U$8,"G",IF(AN$4&lt;=Packages!$V$8,"S","")))))))</f>
        <v/>
      </c>
      <c r="AO8" s="64" t="str">
        <f>IF(AO$4&lt;Packages!$K$8,"",IF(EOMONTH(AO$4,0)=Packages!$U$8,"G",IF(AO$4&lt;=EOMONTH(Packages!$K$8,Packages!$L$8-1),"D",IF(AO$4&lt;=EOMONTH(Packages!$K$8,Packages!$L$8+Packages!$M$8-1),"B",IF(AO$4&lt;=EOMONTH(Packages!$K$8,Packages!$L$8+Packages!$M$8+Packages!$N$8-1),"U",IF(AO$4&lt;=Packages!$U$8,"G",IF(AO$4&lt;=Packages!$V$8,"S","")))))))</f>
        <v/>
      </c>
    </row>
    <row r="9" ht="30" customHeight="1" spans="1:41" x14ac:dyDescent="0.25">
      <c r="A9" s="10" t="str">
        <f>Packages!A9</f>
        <v>WP5</v>
      </c>
      <c r="B9" s="11" t="str">
        <f>Packages!B9</f>
        <v>MSC services (issue, renewal, scope inclusion)</v>
      </c>
      <c r="C9" s="64" t="str">
        <f>IF(C$4&lt;Packages!$K$9,"",IF(EOMONTH(C$4,0)=Packages!$U$9,"G",IF(C$4&lt;=EOMONTH(Packages!$K$9,Packages!$L$9-1),"D",IF(C$4&lt;=EOMONTH(Packages!$K$9,Packages!$L$9+Packages!$M$9-1),"B",IF(C$4&lt;=EOMONTH(Packages!$K$9,Packages!$L$9+Packages!$M$9+Packages!$N$9-1),"U",IF(C$4&lt;=Packages!$U$9,"G",IF(C$4&lt;=Packages!$V$9,"S","")))))))</f>
        <v/>
      </c>
      <c r="D9" s="64" t="str">
        <f>IF(D$4&lt;Packages!$K$9,"",IF(EOMONTH(D$4,0)=Packages!$U$9,"G",IF(D$4&lt;=EOMONTH(Packages!$K$9,Packages!$L$9-1),"D",IF(D$4&lt;=EOMONTH(Packages!$K$9,Packages!$L$9+Packages!$M$9-1),"B",IF(D$4&lt;=EOMONTH(Packages!$K$9,Packages!$L$9+Packages!$M$9+Packages!$N$9-1),"U",IF(D$4&lt;=Packages!$U$9,"G",IF(D$4&lt;=Packages!$V$9,"S","")))))))</f>
        <v/>
      </c>
      <c r="E9" s="64" t="str">
        <f>IF(E$4&lt;Packages!$K$9,"",IF(EOMONTH(E$4,0)=Packages!$U$9,"G",IF(E$4&lt;=EOMONTH(Packages!$K$9,Packages!$L$9-1),"D",IF(E$4&lt;=EOMONTH(Packages!$K$9,Packages!$L$9+Packages!$M$9-1),"B",IF(E$4&lt;=EOMONTH(Packages!$K$9,Packages!$L$9+Packages!$M$9+Packages!$N$9-1),"U",IF(E$4&lt;=Packages!$U$9,"G",IF(E$4&lt;=Packages!$V$9,"S","")))))))</f>
        <v/>
      </c>
      <c r="F9" s="64" t="str">
        <f>IF(F$4&lt;Packages!$K$9,"",IF(EOMONTH(F$4,0)=Packages!$U$9,"G",IF(F$4&lt;=EOMONTH(Packages!$K$9,Packages!$L$9-1),"D",IF(F$4&lt;=EOMONTH(Packages!$K$9,Packages!$L$9+Packages!$M$9-1),"B",IF(F$4&lt;=EOMONTH(Packages!$K$9,Packages!$L$9+Packages!$M$9+Packages!$N$9-1),"U",IF(F$4&lt;=Packages!$U$9,"G",IF(F$4&lt;=Packages!$V$9,"S","")))))))</f>
        <v/>
      </c>
      <c r="G9" s="64" t="str">
        <f>IF(G$4&lt;Packages!$K$9,"",IF(EOMONTH(G$4,0)=Packages!$U$9,"G",IF(G$4&lt;=EOMONTH(Packages!$K$9,Packages!$L$9-1),"D",IF(G$4&lt;=EOMONTH(Packages!$K$9,Packages!$L$9+Packages!$M$9-1),"B",IF(G$4&lt;=EOMONTH(Packages!$K$9,Packages!$L$9+Packages!$M$9+Packages!$N$9-1),"U",IF(G$4&lt;=Packages!$U$9,"G",IF(G$4&lt;=Packages!$V$9,"S","")))))))</f>
        <v/>
      </c>
      <c r="H9" s="64" t="str">
        <f>IF(H$4&lt;Packages!$K$9,"",IF(EOMONTH(H$4,0)=Packages!$U$9,"G",IF(H$4&lt;=EOMONTH(Packages!$K$9,Packages!$L$9-1),"D",IF(H$4&lt;=EOMONTH(Packages!$K$9,Packages!$L$9+Packages!$M$9-1),"B",IF(H$4&lt;=EOMONTH(Packages!$K$9,Packages!$L$9+Packages!$M$9+Packages!$N$9-1),"U",IF(H$4&lt;=Packages!$U$9,"G",IF(H$4&lt;=Packages!$V$9,"S","")))))))</f>
        <v/>
      </c>
      <c r="I9" s="64" t="str">
        <f>IF(I$4&lt;Packages!$K$9,"",IF(EOMONTH(I$4,0)=Packages!$U$9,"G",IF(I$4&lt;=EOMONTH(Packages!$K$9,Packages!$L$9-1),"D",IF(I$4&lt;=EOMONTH(Packages!$K$9,Packages!$L$9+Packages!$M$9-1),"B",IF(I$4&lt;=EOMONTH(Packages!$K$9,Packages!$L$9+Packages!$M$9+Packages!$N$9-1),"U",IF(I$4&lt;=Packages!$U$9,"G",IF(I$4&lt;=Packages!$V$9,"S","")))))))</f>
        <v/>
      </c>
      <c r="J9" s="64" t="str">
        <f>IF(J$4&lt;Packages!$K$9,"",IF(EOMONTH(J$4,0)=Packages!$U$9,"G",IF(J$4&lt;=EOMONTH(Packages!$K$9,Packages!$L$9-1),"D",IF(J$4&lt;=EOMONTH(Packages!$K$9,Packages!$L$9+Packages!$M$9-1),"B",IF(J$4&lt;=EOMONTH(Packages!$K$9,Packages!$L$9+Packages!$M$9+Packages!$N$9-1),"U",IF(J$4&lt;=Packages!$U$9,"G",IF(J$4&lt;=Packages!$V$9,"S","")))))))</f>
        <v/>
      </c>
      <c r="K9" s="64" t="str">
        <f>IF(K$4&lt;Packages!$K$9,"",IF(EOMONTH(K$4,0)=Packages!$U$9,"G",IF(K$4&lt;=EOMONTH(Packages!$K$9,Packages!$L$9-1),"D",IF(K$4&lt;=EOMONTH(Packages!$K$9,Packages!$L$9+Packages!$M$9-1),"B",IF(K$4&lt;=EOMONTH(Packages!$K$9,Packages!$L$9+Packages!$M$9+Packages!$N$9-1),"U",IF(K$4&lt;=Packages!$U$9,"G",IF(K$4&lt;=Packages!$V$9,"S","")))))))</f>
        <v/>
      </c>
      <c r="L9" s="64" t="str">
        <f>IF(L$4&lt;Packages!$K$9,"",IF(EOMONTH(L$4,0)=Packages!$U$9,"G",IF(L$4&lt;=EOMONTH(Packages!$K$9,Packages!$L$9-1),"D",IF(L$4&lt;=EOMONTH(Packages!$K$9,Packages!$L$9+Packages!$M$9-1),"B",IF(L$4&lt;=EOMONTH(Packages!$K$9,Packages!$L$9+Packages!$M$9+Packages!$N$9-1),"U",IF(L$4&lt;=Packages!$U$9,"G",IF(L$4&lt;=Packages!$V$9,"S","")))))))</f>
        <v/>
      </c>
      <c r="M9" s="64" t="str">
        <f>IF(M$4&lt;Packages!$K$9,"",IF(EOMONTH(M$4,0)=Packages!$U$9,"G",IF(M$4&lt;=EOMONTH(Packages!$K$9,Packages!$L$9-1),"D",IF(M$4&lt;=EOMONTH(Packages!$K$9,Packages!$L$9+Packages!$M$9-1),"B",IF(M$4&lt;=EOMONTH(Packages!$K$9,Packages!$L$9+Packages!$M$9+Packages!$N$9-1),"U",IF(M$4&lt;=Packages!$U$9,"G",IF(M$4&lt;=Packages!$V$9,"S","")))))))</f>
        <v/>
      </c>
      <c r="N9" s="64" t="str">
        <f>IF(N$4&lt;Packages!$K$9,"",IF(EOMONTH(N$4,0)=Packages!$U$9,"G",IF(N$4&lt;=EOMONTH(Packages!$K$9,Packages!$L$9-1),"D",IF(N$4&lt;=EOMONTH(Packages!$K$9,Packages!$L$9+Packages!$M$9-1),"B",IF(N$4&lt;=EOMONTH(Packages!$K$9,Packages!$L$9+Packages!$M$9+Packages!$N$9-1),"U",IF(N$4&lt;=Packages!$U$9,"G",IF(N$4&lt;=Packages!$V$9,"S","")))))))</f>
        <v/>
      </c>
      <c r="O9" s="64" t="str">
        <f>IF(O$4&lt;Packages!$K$9,"",IF(EOMONTH(O$4,0)=Packages!$U$9,"G",IF(O$4&lt;=EOMONTH(Packages!$K$9,Packages!$L$9-1),"D",IF(O$4&lt;=EOMONTH(Packages!$K$9,Packages!$L$9+Packages!$M$9-1),"B",IF(O$4&lt;=EOMONTH(Packages!$K$9,Packages!$L$9+Packages!$M$9+Packages!$N$9-1),"U",IF(O$4&lt;=Packages!$U$9,"G",IF(O$4&lt;=Packages!$V$9,"S","")))))))</f>
        <v/>
      </c>
      <c r="P9" s="64" t="str">
        <f>IF(P$4&lt;Packages!$K$9,"",IF(EOMONTH(P$4,0)=Packages!$U$9,"G",IF(P$4&lt;=EOMONTH(Packages!$K$9,Packages!$L$9-1),"D",IF(P$4&lt;=EOMONTH(Packages!$K$9,Packages!$L$9+Packages!$M$9-1),"B",IF(P$4&lt;=EOMONTH(Packages!$K$9,Packages!$L$9+Packages!$M$9+Packages!$N$9-1),"U",IF(P$4&lt;=Packages!$U$9,"G",IF(P$4&lt;=Packages!$V$9,"S","")))))))</f>
        <v/>
      </c>
      <c r="Q9" s="64" t="str">
        <f>IF(Q$4&lt;Packages!$K$9,"",IF(EOMONTH(Q$4,0)=Packages!$U$9,"G",IF(Q$4&lt;=EOMONTH(Packages!$K$9,Packages!$L$9-1),"D",IF(Q$4&lt;=EOMONTH(Packages!$K$9,Packages!$L$9+Packages!$M$9-1),"B",IF(Q$4&lt;=EOMONTH(Packages!$K$9,Packages!$L$9+Packages!$M$9+Packages!$N$9-1),"U",IF(Q$4&lt;=Packages!$U$9,"G",IF(Q$4&lt;=Packages!$V$9,"S","")))))))</f>
        <v/>
      </c>
      <c r="R9" s="64" t="str">
        <f>IF(R$4&lt;Packages!$K$9,"",IF(EOMONTH(R$4,0)=Packages!$U$9,"G",IF(R$4&lt;=EOMONTH(Packages!$K$9,Packages!$L$9-1),"D",IF(R$4&lt;=EOMONTH(Packages!$K$9,Packages!$L$9+Packages!$M$9-1),"B",IF(R$4&lt;=EOMONTH(Packages!$K$9,Packages!$L$9+Packages!$M$9+Packages!$N$9-1),"U",IF(R$4&lt;=Packages!$U$9,"G",IF(R$4&lt;=Packages!$V$9,"S","")))))))</f>
        <v/>
      </c>
      <c r="S9" s="64" t="str">
        <f>IF(S$4&lt;Packages!$K$9,"",IF(EOMONTH(S$4,0)=Packages!$U$9,"G",IF(S$4&lt;=EOMONTH(Packages!$K$9,Packages!$L$9-1),"D",IF(S$4&lt;=EOMONTH(Packages!$K$9,Packages!$L$9+Packages!$M$9-1),"B",IF(S$4&lt;=EOMONTH(Packages!$K$9,Packages!$L$9+Packages!$M$9+Packages!$N$9-1),"U",IF(S$4&lt;=Packages!$U$9,"G",IF(S$4&lt;=Packages!$V$9,"S","")))))))</f>
        <v/>
      </c>
      <c r="T9" s="64" t="str">
        <f>IF(T$4&lt;Packages!$K$9,"",IF(EOMONTH(T$4,0)=Packages!$U$9,"G",IF(T$4&lt;=EOMONTH(Packages!$K$9,Packages!$L$9-1),"D",IF(T$4&lt;=EOMONTH(Packages!$K$9,Packages!$L$9+Packages!$M$9-1),"B",IF(T$4&lt;=EOMONTH(Packages!$K$9,Packages!$L$9+Packages!$M$9+Packages!$N$9-1),"U",IF(T$4&lt;=Packages!$U$9,"G",IF(T$4&lt;=Packages!$V$9,"S","")))))))</f>
        <v/>
      </c>
      <c r="U9" s="64" t="str">
        <f>IF(U$4&lt;Packages!$K$9,"",IF(EOMONTH(U$4,0)=Packages!$U$9,"G",IF(U$4&lt;=EOMONTH(Packages!$K$9,Packages!$L$9-1),"D",IF(U$4&lt;=EOMONTH(Packages!$K$9,Packages!$L$9+Packages!$M$9-1),"B",IF(U$4&lt;=EOMONTH(Packages!$K$9,Packages!$L$9+Packages!$M$9+Packages!$N$9-1),"U",IF(U$4&lt;=Packages!$U$9,"G",IF(U$4&lt;=Packages!$V$9,"S","")))))))</f>
        <v>D</v>
      </c>
      <c r="V9" s="64" t="str">
        <f>IF(V$4&lt;Packages!$K$9,"",IF(EOMONTH(V$4,0)=Packages!$U$9,"G",IF(V$4&lt;=EOMONTH(Packages!$K$9,Packages!$L$9-1),"D",IF(V$4&lt;=EOMONTH(Packages!$K$9,Packages!$L$9+Packages!$M$9-1),"B",IF(V$4&lt;=EOMONTH(Packages!$K$9,Packages!$L$9+Packages!$M$9+Packages!$N$9-1),"U",IF(V$4&lt;=Packages!$U$9,"G",IF(V$4&lt;=Packages!$V$9,"S","")))))))</f>
        <v>B</v>
      </c>
      <c r="W9" s="64" t="str">
        <f>IF(W$4&lt;Packages!$K$9,"",IF(EOMONTH(W$4,0)=Packages!$U$9,"G",IF(W$4&lt;=EOMONTH(Packages!$K$9,Packages!$L$9-1),"D",IF(W$4&lt;=EOMONTH(Packages!$K$9,Packages!$L$9+Packages!$M$9-1),"B",IF(W$4&lt;=EOMONTH(Packages!$K$9,Packages!$L$9+Packages!$M$9+Packages!$N$9-1),"U",IF(W$4&lt;=Packages!$U$9,"G",IF(W$4&lt;=Packages!$V$9,"S","")))))))</f>
        <v>B</v>
      </c>
      <c r="X9" s="64" t="str">
        <f>IF(X$4&lt;Packages!$K$9,"",IF(EOMONTH(X$4,0)=Packages!$U$9,"G",IF(X$4&lt;=EOMONTH(Packages!$K$9,Packages!$L$9-1),"D",IF(X$4&lt;=EOMONTH(Packages!$K$9,Packages!$L$9+Packages!$M$9-1),"B",IF(X$4&lt;=EOMONTH(Packages!$K$9,Packages!$L$9+Packages!$M$9+Packages!$N$9-1),"U",IF(X$4&lt;=Packages!$U$9,"G",IF(X$4&lt;=Packages!$V$9,"S","")))))))</f>
        <v>B</v>
      </c>
      <c r="Y9" s="64" t="str">
        <f>IF(Y$4&lt;Packages!$K$9,"",IF(EOMONTH(Y$4,0)=Packages!$U$9,"G",IF(Y$4&lt;=EOMONTH(Packages!$K$9,Packages!$L$9-1),"D",IF(Y$4&lt;=EOMONTH(Packages!$K$9,Packages!$L$9+Packages!$M$9-1),"B",IF(Y$4&lt;=EOMONTH(Packages!$K$9,Packages!$L$9+Packages!$M$9+Packages!$N$9-1),"U",IF(Y$4&lt;=Packages!$U$9,"G",IF(Y$4&lt;=Packages!$V$9,"S","")))))))</f>
        <v>U</v>
      </c>
      <c r="Z9" s="64" t="str">
        <f>IF(Z$4&lt;Packages!$K$9,"",IF(EOMONTH(Z$4,0)=Packages!$U$9,"G",IF(Z$4&lt;=EOMONTH(Packages!$K$9,Packages!$L$9-1),"D",IF(Z$4&lt;=EOMONTH(Packages!$K$9,Packages!$L$9+Packages!$M$9-1),"B",IF(Z$4&lt;=EOMONTH(Packages!$K$9,Packages!$L$9+Packages!$M$9+Packages!$N$9-1),"U",IF(Z$4&lt;=Packages!$U$9,"G",IF(Z$4&lt;=Packages!$V$9,"S","")))))))</f>
        <v>G</v>
      </c>
      <c r="AA9" s="64" t="str">
        <f>IF(AA$4&lt;Packages!$K$9,"",IF(EOMONTH(AA$4,0)=Packages!$U$9,"G",IF(AA$4&lt;=EOMONTH(Packages!$K$9,Packages!$L$9-1),"D",IF(AA$4&lt;=EOMONTH(Packages!$K$9,Packages!$L$9+Packages!$M$9-1),"B",IF(AA$4&lt;=EOMONTH(Packages!$K$9,Packages!$L$9+Packages!$M$9+Packages!$N$9-1),"U",IF(AA$4&lt;=Packages!$U$9,"G",IF(AA$4&lt;=Packages!$V$9,"S","")))))))</f>
        <v>S</v>
      </c>
      <c r="AB9" s="64" t="str">
        <f>IF(AB$4&lt;Packages!$K$9,"",IF(EOMONTH(AB$4,0)=Packages!$U$9,"G",IF(AB$4&lt;=EOMONTH(Packages!$K$9,Packages!$L$9-1),"D",IF(AB$4&lt;=EOMONTH(Packages!$K$9,Packages!$L$9+Packages!$M$9-1),"B",IF(AB$4&lt;=EOMONTH(Packages!$K$9,Packages!$L$9+Packages!$M$9+Packages!$N$9-1),"U",IF(AB$4&lt;=Packages!$U$9,"G",IF(AB$4&lt;=Packages!$V$9,"S","")))))))</f>
        <v>S</v>
      </c>
      <c r="AC9" s="64" t="str">
        <f>IF(AC$4&lt;Packages!$K$9,"",IF(EOMONTH(AC$4,0)=Packages!$U$9,"G",IF(AC$4&lt;=EOMONTH(Packages!$K$9,Packages!$L$9-1),"D",IF(AC$4&lt;=EOMONTH(Packages!$K$9,Packages!$L$9+Packages!$M$9-1),"B",IF(AC$4&lt;=EOMONTH(Packages!$K$9,Packages!$L$9+Packages!$M$9+Packages!$N$9-1),"U",IF(AC$4&lt;=Packages!$U$9,"G",IF(AC$4&lt;=Packages!$V$9,"S","")))))))</f>
        <v>S</v>
      </c>
      <c r="AD9" s="64" t="str">
        <f>IF(AD$4&lt;Packages!$K$9,"",IF(EOMONTH(AD$4,0)=Packages!$U$9,"G",IF(AD$4&lt;=EOMONTH(Packages!$K$9,Packages!$L$9-1),"D",IF(AD$4&lt;=EOMONTH(Packages!$K$9,Packages!$L$9+Packages!$M$9-1),"B",IF(AD$4&lt;=EOMONTH(Packages!$K$9,Packages!$L$9+Packages!$M$9+Packages!$N$9-1),"U",IF(AD$4&lt;=Packages!$U$9,"G",IF(AD$4&lt;=Packages!$V$9,"S","")))))))</f>
        <v/>
      </c>
      <c r="AE9" s="64" t="str">
        <f>IF(AE$4&lt;Packages!$K$9,"",IF(EOMONTH(AE$4,0)=Packages!$U$9,"G",IF(AE$4&lt;=EOMONTH(Packages!$K$9,Packages!$L$9-1),"D",IF(AE$4&lt;=EOMONTH(Packages!$K$9,Packages!$L$9+Packages!$M$9-1),"B",IF(AE$4&lt;=EOMONTH(Packages!$K$9,Packages!$L$9+Packages!$M$9+Packages!$N$9-1),"U",IF(AE$4&lt;=Packages!$U$9,"G",IF(AE$4&lt;=Packages!$V$9,"S","")))))))</f>
        <v/>
      </c>
      <c r="AF9" s="64" t="str">
        <f>IF(AF$4&lt;Packages!$K$9,"",IF(EOMONTH(AF$4,0)=Packages!$U$9,"G",IF(AF$4&lt;=EOMONTH(Packages!$K$9,Packages!$L$9-1),"D",IF(AF$4&lt;=EOMONTH(Packages!$K$9,Packages!$L$9+Packages!$M$9-1),"B",IF(AF$4&lt;=EOMONTH(Packages!$K$9,Packages!$L$9+Packages!$M$9+Packages!$N$9-1),"U",IF(AF$4&lt;=Packages!$U$9,"G",IF(AF$4&lt;=Packages!$V$9,"S","")))))))</f>
        <v/>
      </c>
      <c r="AG9" s="64" t="str">
        <f>IF(AG$4&lt;Packages!$K$9,"",IF(EOMONTH(AG$4,0)=Packages!$U$9,"G",IF(AG$4&lt;=EOMONTH(Packages!$K$9,Packages!$L$9-1),"D",IF(AG$4&lt;=EOMONTH(Packages!$K$9,Packages!$L$9+Packages!$M$9-1),"B",IF(AG$4&lt;=EOMONTH(Packages!$K$9,Packages!$L$9+Packages!$M$9+Packages!$N$9-1),"U",IF(AG$4&lt;=Packages!$U$9,"G",IF(AG$4&lt;=Packages!$V$9,"S","")))))))</f>
        <v/>
      </c>
      <c r="AH9" s="64" t="str">
        <f>IF(AH$4&lt;Packages!$K$9,"",IF(EOMONTH(AH$4,0)=Packages!$U$9,"G",IF(AH$4&lt;=EOMONTH(Packages!$K$9,Packages!$L$9-1),"D",IF(AH$4&lt;=EOMONTH(Packages!$K$9,Packages!$L$9+Packages!$M$9-1),"B",IF(AH$4&lt;=EOMONTH(Packages!$K$9,Packages!$L$9+Packages!$M$9+Packages!$N$9-1),"U",IF(AH$4&lt;=Packages!$U$9,"G",IF(AH$4&lt;=Packages!$V$9,"S","")))))))</f>
        <v/>
      </c>
      <c r="AI9" s="64" t="str">
        <f>IF(AI$4&lt;Packages!$K$9,"",IF(EOMONTH(AI$4,0)=Packages!$U$9,"G",IF(AI$4&lt;=EOMONTH(Packages!$K$9,Packages!$L$9-1),"D",IF(AI$4&lt;=EOMONTH(Packages!$K$9,Packages!$L$9+Packages!$M$9-1),"B",IF(AI$4&lt;=EOMONTH(Packages!$K$9,Packages!$L$9+Packages!$M$9+Packages!$N$9-1),"U",IF(AI$4&lt;=Packages!$U$9,"G",IF(AI$4&lt;=Packages!$V$9,"S","")))))))</f>
        <v/>
      </c>
      <c r="AJ9" s="64" t="str">
        <f>IF(AJ$4&lt;Packages!$K$9,"",IF(EOMONTH(AJ$4,0)=Packages!$U$9,"G",IF(AJ$4&lt;=EOMONTH(Packages!$K$9,Packages!$L$9-1),"D",IF(AJ$4&lt;=EOMONTH(Packages!$K$9,Packages!$L$9+Packages!$M$9-1),"B",IF(AJ$4&lt;=EOMONTH(Packages!$K$9,Packages!$L$9+Packages!$M$9+Packages!$N$9-1),"U",IF(AJ$4&lt;=Packages!$U$9,"G",IF(AJ$4&lt;=Packages!$V$9,"S","")))))))</f>
        <v/>
      </c>
      <c r="AK9" s="64" t="str">
        <f>IF(AK$4&lt;Packages!$K$9,"",IF(EOMONTH(AK$4,0)=Packages!$U$9,"G",IF(AK$4&lt;=EOMONTH(Packages!$K$9,Packages!$L$9-1),"D",IF(AK$4&lt;=EOMONTH(Packages!$K$9,Packages!$L$9+Packages!$M$9-1),"B",IF(AK$4&lt;=EOMONTH(Packages!$K$9,Packages!$L$9+Packages!$M$9+Packages!$N$9-1),"U",IF(AK$4&lt;=Packages!$U$9,"G",IF(AK$4&lt;=Packages!$V$9,"S","")))))))</f>
        <v/>
      </c>
      <c r="AL9" s="64" t="str">
        <f>IF(AL$4&lt;Packages!$K$9,"",IF(EOMONTH(AL$4,0)=Packages!$U$9,"G",IF(AL$4&lt;=EOMONTH(Packages!$K$9,Packages!$L$9-1),"D",IF(AL$4&lt;=EOMONTH(Packages!$K$9,Packages!$L$9+Packages!$M$9-1),"B",IF(AL$4&lt;=EOMONTH(Packages!$K$9,Packages!$L$9+Packages!$M$9+Packages!$N$9-1),"U",IF(AL$4&lt;=Packages!$U$9,"G",IF(AL$4&lt;=Packages!$V$9,"S","")))))))</f>
        <v/>
      </c>
      <c r="AM9" s="64" t="str">
        <f>IF(AM$4&lt;Packages!$K$9,"",IF(EOMONTH(AM$4,0)=Packages!$U$9,"G",IF(AM$4&lt;=EOMONTH(Packages!$K$9,Packages!$L$9-1),"D",IF(AM$4&lt;=EOMONTH(Packages!$K$9,Packages!$L$9+Packages!$M$9-1),"B",IF(AM$4&lt;=EOMONTH(Packages!$K$9,Packages!$L$9+Packages!$M$9+Packages!$N$9-1),"U",IF(AM$4&lt;=Packages!$U$9,"G",IF(AM$4&lt;=Packages!$V$9,"S","")))))))</f>
        <v/>
      </c>
      <c r="AN9" s="64" t="str">
        <f>IF(AN$4&lt;Packages!$K$9,"",IF(EOMONTH(AN$4,0)=Packages!$U$9,"G",IF(AN$4&lt;=EOMONTH(Packages!$K$9,Packages!$L$9-1),"D",IF(AN$4&lt;=EOMONTH(Packages!$K$9,Packages!$L$9+Packages!$M$9-1),"B",IF(AN$4&lt;=EOMONTH(Packages!$K$9,Packages!$L$9+Packages!$M$9+Packages!$N$9-1),"U",IF(AN$4&lt;=Packages!$U$9,"G",IF(AN$4&lt;=Packages!$V$9,"S","")))))))</f>
        <v/>
      </c>
      <c r="AO9" s="64" t="str">
        <f>IF(AO$4&lt;Packages!$K$9,"",IF(EOMONTH(AO$4,0)=Packages!$U$9,"G",IF(AO$4&lt;=EOMONTH(Packages!$K$9,Packages!$L$9-1),"D",IF(AO$4&lt;=EOMONTH(Packages!$K$9,Packages!$L$9+Packages!$M$9-1),"B",IF(AO$4&lt;=EOMONTH(Packages!$K$9,Packages!$L$9+Packages!$M$9+Packages!$N$9-1),"U",IF(AO$4&lt;=Packages!$U$9,"G",IF(AO$4&lt;=Packages!$V$9,"S","")))))))</f>
        <v/>
      </c>
    </row>
    <row r="10" ht="30" customHeight="1" spans="1:41" x14ac:dyDescent="0.25">
      <c r="A10" s="10" t="str">
        <f>Packages!A10</f>
        <v>WP6</v>
      </c>
      <c r="B10" s="11" t="str">
        <f>Packages!B10</f>
        <v>Halal certification, LPG / Fuel station registration, Case Management</v>
      </c>
      <c r="C10" s="64" t="str">
        <f>IF(C$4&lt;Packages!$K$10,"",IF(EOMONTH(C$4,0)=Packages!$U$10,"G",IF(C$4&lt;=EOMONTH(Packages!$K$10,Packages!$L$10-1),"D",IF(C$4&lt;=EOMONTH(Packages!$K$10,Packages!$L$10+Packages!$M$10-1),"B",IF(C$4&lt;=EOMONTH(Packages!$K$10,Packages!$L$10+Packages!$M$10+Packages!$N$10-1),"U",IF(C$4&lt;=Packages!$U$10,"G",IF(C$4&lt;=Packages!$V$10,"S","")))))))</f>
        <v/>
      </c>
      <c r="D10" s="64" t="str">
        <f>IF(D$4&lt;Packages!$K$10,"",IF(EOMONTH(D$4,0)=Packages!$U$10,"G",IF(D$4&lt;=EOMONTH(Packages!$K$10,Packages!$L$10-1),"D",IF(D$4&lt;=EOMONTH(Packages!$K$10,Packages!$L$10+Packages!$M$10-1),"B",IF(D$4&lt;=EOMONTH(Packages!$K$10,Packages!$L$10+Packages!$M$10+Packages!$N$10-1),"U",IF(D$4&lt;=Packages!$U$10,"G",IF(D$4&lt;=Packages!$V$10,"S","")))))))</f>
        <v/>
      </c>
      <c r="E10" s="64" t="str">
        <f>IF(E$4&lt;Packages!$K$10,"",IF(EOMONTH(E$4,0)=Packages!$U$10,"G",IF(E$4&lt;=EOMONTH(Packages!$K$10,Packages!$L$10-1),"D",IF(E$4&lt;=EOMONTH(Packages!$K$10,Packages!$L$10+Packages!$M$10-1),"B",IF(E$4&lt;=EOMONTH(Packages!$K$10,Packages!$L$10+Packages!$M$10+Packages!$N$10-1),"U",IF(E$4&lt;=Packages!$U$10,"G",IF(E$4&lt;=Packages!$V$10,"S","")))))))</f>
        <v/>
      </c>
      <c r="F10" s="64" t="str">
        <f>IF(F$4&lt;Packages!$K$10,"",IF(EOMONTH(F$4,0)=Packages!$U$10,"G",IF(F$4&lt;=EOMONTH(Packages!$K$10,Packages!$L$10-1),"D",IF(F$4&lt;=EOMONTH(Packages!$K$10,Packages!$L$10+Packages!$M$10-1),"B",IF(F$4&lt;=EOMONTH(Packages!$K$10,Packages!$L$10+Packages!$M$10+Packages!$N$10-1),"U",IF(F$4&lt;=Packages!$U$10,"G",IF(F$4&lt;=Packages!$V$10,"S","")))))))</f>
        <v/>
      </c>
      <c r="G10" s="64" t="str">
        <f>IF(G$4&lt;Packages!$K$10,"",IF(EOMONTH(G$4,0)=Packages!$U$10,"G",IF(G$4&lt;=EOMONTH(Packages!$K$10,Packages!$L$10-1),"D",IF(G$4&lt;=EOMONTH(Packages!$K$10,Packages!$L$10+Packages!$M$10-1),"B",IF(G$4&lt;=EOMONTH(Packages!$K$10,Packages!$L$10+Packages!$M$10+Packages!$N$10-1),"U",IF(G$4&lt;=Packages!$U$10,"G",IF(G$4&lt;=Packages!$V$10,"S","")))))))</f>
        <v/>
      </c>
      <c r="H10" s="64" t="str">
        <f>IF(H$4&lt;Packages!$K$10,"",IF(EOMONTH(H$4,0)=Packages!$U$10,"G",IF(H$4&lt;=EOMONTH(Packages!$K$10,Packages!$L$10-1),"D",IF(H$4&lt;=EOMONTH(Packages!$K$10,Packages!$L$10+Packages!$M$10-1),"B",IF(H$4&lt;=EOMONTH(Packages!$K$10,Packages!$L$10+Packages!$M$10+Packages!$N$10-1),"U",IF(H$4&lt;=Packages!$U$10,"G",IF(H$4&lt;=Packages!$V$10,"S","")))))))</f>
        <v/>
      </c>
      <c r="I10" s="64" t="str">
        <f>IF(I$4&lt;Packages!$K$10,"",IF(EOMONTH(I$4,0)=Packages!$U$10,"G",IF(I$4&lt;=EOMONTH(Packages!$K$10,Packages!$L$10-1),"D",IF(I$4&lt;=EOMONTH(Packages!$K$10,Packages!$L$10+Packages!$M$10-1),"B",IF(I$4&lt;=EOMONTH(Packages!$K$10,Packages!$L$10+Packages!$M$10+Packages!$N$10-1),"U",IF(I$4&lt;=Packages!$U$10,"G",IF(I$4&lt;=Packages!$V$10,"S","")))))))</f>
        <v/>
      </c>
      <c r="J10" s="64" t="str">
        <f>IF(J$4&lt;Packages!$K$10,"",IF(EOMONTH(J$4,0)=Packages!$U$10,"G",IF(J$4&lt;=EOMONTH(Packages!$K$10,Packages!$L$10-1),"D",IF(J$4&lt;=EOMONTH(Packages!$K$10,Packages!$L$10+Packages!$M$10-1),"B",IF(J$4&lt;=EOMONTH(Packages!$K$10,Packages!$L$10+Packages!$M$10+Packages!$N$10-1),"U",IF(J$4&lt;=Packages!$U$10,"G",IF(J$4&lt;=Packages!$V$10,"S","")))))))</f>
        <v/>
      </c>
      <c r="K10" s="64" t="str">
        <f>IF(K$4&lt;Packages!$K$10,"",IF(EOMONTH(K$4,0)=Packages!$U$10,"G",IF(K$4&lt;=EOMONTH(Packages!$K$10,Packages!$L$10-1),"D",IF(K$4&lt;=EOMONTH(Packages!$K$10,Packages!$L$10+Packages!$M$10-1),"B",IF(K$4&lt;=EOMONTH(Packages!$K$10,Packages!$L$10+Packages!$M$10+Packages!$N$10-1),"U",IF(K$4&lt;=Packages!$U$10,"G",IF(K$4&lt;=Packages!$V$10,"S","")))))))</f>
        <v/>
      </c>
      <c r="L10" s="64" t="str">
        <f>IF(L$4&lt;Packages!$K$10,"",IF(EOMONTH(L$4,0)=Packages!$U$10,"G",IF(L$4&lt;=EOMONTH(Packages!$K$10,Packages!$L$10-1),"D",IF(L$4&lt;=EOMONTH(Packages!$K$10,Packages!$L$10+Packages!$M$10-1),"B",IF(L$4&lt;=EOMONTH(Packages!$K$10,Packages!$L$10+Packages!$M$10+Packages!$N$10-1),"U",IF(L$4&lt;=Packages!$U$10,"G",IF(L$4&lt;=Packages!$V$10,"S","")))))))</f>
        <v/>
      </c>
      <c r="M10" s="64" t="str">
        <f>IF(M$4&lt;Packages!$K$10,"",IF(EOMONTH(M$4,0)=Packages!$U$10,"G",IF(M$4&lt;=EOMONTH(Packages!$K$10,Packages!$L$10-1),"D",IF(M$4&lt;=EOMONTH(Packages!$K$10,Packages!$L$10+Packages!$M$10-1),"B",IF(M$4&lt;=EOMONTH(Packages!$K$10,Packages!$L$10+Packages!$M$10+Packages!$N$10-1),"U",IF(M$4&lt;=Packages!$U$10,"G",IF(M$4&lt;=Packages!$V$10,"S","")))))))</f>
        <v/>
      </c>
      <c r="N10" s="64" t="str">
        <f>IF(N$4&lt;Packages!$K$10,"",IF(EOMONTH(N$4,0)=Packages!$U$10,"G",IF(N$4&lt;=EOMONTH(Packages!$K$10,Packages!$L$10-1),"D",IF(N$4&lt;=EOMONTH(Packages!$K$10,Packages!$L$10+Packages!$M$10-1),"B",IF(N$4&lt;=EOMONTH(Packages!$K$10,Packages!$L$10+Packages!$M$10+Packages!$N$10-1),"U",IF(N$4&lt;=Packages!$U$10,"G",IF(N$4&lt;=Packages!$V$10,"S","")))))))</f>
        <v/>
      </c>
      <c r="O10" s="64" t="str">
        <f>IF(O$4&lt;Packages!$K$10,"",IF(EOMONTH(O$4,0)=Packages!$U$10,"G",IF(O$4&lt;=EOMONTH(Packages!$K$10,Packages!$L$10-1),"D",IF(O$4&lt;=EOMONTH(Packages!$K$10,Packages!$L$10+Packages!$M$10-1),"B",IF(O$4&lt;=EOMONTH(Packages!$K$10,Packages!$L$10+Packages!$M$10+Packages!$N$10-1),"U",IF(O$4&lt;=Packages!$U$10,"G",IF(O$4&lt;=Packages!$V$10,"S","")))))))</f>
        <v/>
      </c>
      <c r="P10" s="64" t="str">
        <f>IF(P$4&lt;Packages!$K$10,"",IF(EOMONTH(P$4,0)=Packages!$U$10,"G",IF(P$4&lt;=EOMONTH(Packages!$K$10,Packages!$L$10-1),"D",IF(P$4&lt;=EOMONTH(Packages!$K$10,Packages!$L$10+Packages!$M$10-1),"B",IF(P$4&lt;=EOMONTH(Packages!$K$10,Packages!$L$10+Packages!$M$10+Packages!$N$10-1),"U",IF(P$4&lt;=Packages!$U$10,"G",IF(P$4&lt;=Packages!$V$10,"S","")))))))</f>
        <v/>
      </c>
      <c r="Q10" s="64" t="str">
        <f>IF(Q$4&lt;Packages!$K$10,"",IF(EOMONTH(Q$4,0)=Packages!$U$10,"G",IF(Q$4&lt;=EOMONTH(Packages!$K$10,Packages!$L$10-1),"D",IF(Q$4&lt;=EOMONTH(Packages!$K$10,Packages!$L$10+Packages!$M$10-1),"B",IF(Q$4&lt;=EOMONTH(Packages!$K$10,Packages!$L$10+Packages!$M$10+Packages!$N$10-1),"U",IF(Q$4&lt;=Packages!$U$10,"G",IF(Q$4&lt;=Packages!$V$10,"S","")))))))</f>
        <v/>
      </c>
      <c r="R10" s="64" t="str">
        <f>IF(R$4&lt;Packages!$K$10,"",IF(EOMONTH(R$4,0)=Packages!$U$10,"G",IF(R$4&lt;=EOMONTH(Packages!$K$10,Packages!$L$10-1),"D",IF(R$4&lt;=EOMONTH(Packages!$K$10,Packages!$L$10+Packages!$M$10-1),"B",IF(R$4&lt;=EOMONTH(Packages!$K$10,Packages!$L$10+Packages!$M$10+Packages!$N$10-1),"U",IF(R$4&lt;=Packages!$U$10,"G",IF(R$4&lt;=Packages!$V$10,"S","")))))))</f>
        <v/>
      </c>
      <c r="S10" s="64" t="str">
        <f>IF(S$4&lt;Packages!$K$10,"",IF(EOMONTH(S$4,0)=Packages!$U$10,"G",IF(S$4&lt;=EOMONTH(Packages!$K$10,Packages!$L$10-1),"D",IF(S$4&lt;=EOMONTH(Packages!$K$10,Packages!$L$10+Packages!$M$10-1),"B",IF(S$4&lt;=EOMONTH(Packages!$K$10,Packages!$L$10+Packages!$M$10+Packages!$N$10-1),"U",IF(S$4&lt;=Packages!$U$10,"G",IF(S$4&lt;=Packages!$V$10,"S","")))))))</f>
        <v/>
      </c>
      <c r="T10" s="64" t="str">
        <f>IF(T$4&lt;Packages!$K$10,"",IF(EOMONTH(T$4,0)=Packages!$U$10,"G",IF(T$4&lt;=EOMONTH(Packages!$K$10,Packages!$L$10-1),"D",IF(T$4&lt;=EOMONTH(Packages!$K$10,Packages!$L$10+Packages!$M$10-1),"B",IF(T$4&lt;=EOMONTH(Packages!$K$10,Packages!$L$10+Packages!$M$10+Packages!$N$10-1),"U",IF(T$4&lt;=Packages!$U$10,"G",IF(T$4&lt;=Packages!$V$10,"S","")))))))</f>
        <v/>
      </c>
      <c r="U10" s="64" t="str">
        <f>IF(U$4&lt;Packages!$K$10,"",IF(EOMONTH(U$4,0)=Packages!$U$10,"G",IF(U$4&lt;=EOMONTH(Packages!$K$10,Packages!$L$10-1),"D",IF(U$4&lt;=EOMONTH(Packages!$K$10,Packages!$L$10+Packages!$M$10-1),"B",IF(U$4&lt;=EOMONTH(Packages!$K$10,Packages!$L$10+Packages!$M$10+Packages!$N$10-1),"U",IF(U$4&lt;=Packages!$U$10,"G",IF(U$4&lt;=Packages!$V$10,"S","")))))))</f>
        <v/>
      </c>
      <c r="V10" s="64" t="str">
        <f>IF(V$4&lt;Packages!$K$10,"",IF(EOMONTH(V$4,0)=Packages!$U$10,"G",IF(V$4&lt;=EOMONTH(Packages!$K$10,Packages!$L$10-1),"D",IF(V$4&lt;=EOMONTH(Packages!$K$10,Packages!$L$10+Packages!$M$10-1),"B",IF(V$4&lt;=EOMONTH(Packages!$K$10,Packages!$L$10+Packages!$M$10+Packages!$N$10-1),"U",IF(V$4&lt;=Packages!$U$10,"G",IF(V$4&lt;=Packages!$V$10,"S","")))))))</f>
        <v/>
      </c>
      <c r="W10" s="64" t="str">
        <f>IF(W$4&lt;Packages!$K$10,"",IF(EOMONTH(W$4,0)=Packages!$U$10,"G",IF(W$4&lt;=EOMONTH(Packages!$K$10,Packages!$L$10-1),"D",IF(W$4&lt;=EOMONTH(Packages!$K$10,Packages!$L$10+Packages!$M$10-1),"B",IF(W$4&lt;=EOMONTH(Packages!$K$10,Packages!$L$10+Packages!$M$10+Packages!$N$10-1),"U",IF(W$4&lt;=Packages!$U$10,"G",IF(W$4&lt;=Packages!$V$10,"S","")))))))</f>
        <v/>
      </c>
      <c r="X10" s="64" t="str">
        <f>IF(X$4&lt;Packages!$K$10,"",IF(EOMONTH(X$4,0)=Packages!$U$10,"G",IF(X$4&lt;=EOMONTH(Packages!$K$10,Packages!$L$10-1),"D",IF(X$4&lt;=EOMONTH(Packages!$K$10,Packages!$L$10+Packages!$M$10-1),"B",IF(X$4&lt;=EOMONTH(Packages!$K$10,Packages!$L$10+Packages!$M$10+Packages!$N$10-1),"U",IF(X$4&lt;=Packages!$U$10,"G",IF(X$4&lt;=Packages!$V$10,"S","")))))))</f>
        <v/>
      </c>
      <c r="Y10" s="64" t="str">
        <f>IF(Y$4&lt;Packages!$K$10,"",IF(EOMONTH(Y$4,0)=Packages!$U$10,"G",IF(Y$4&lt;=EOMONTH(Packages!$K$10,Packages!$L$10-1),"D",IF(Y$4&lt;=EOMONTH(Packages!$K$10,Packages!$L$10+Packages!$M$10-1),"B",IF(Y$4&lt;=EOMONTH(Packages!$K$10,Packages!$L$10+Packages!$M$10+Packages!$N$10-1),"U",IF(Y$4&lt;=Packages!$U$10,"G",IF(Y$4&lt;=Packages!$V$10,"S","")))))))</f>
        <v/>
      </c>
      <c r="Z10" s="64" t="str">
        <f>IF(Z$4&lt;Packages!$K$10,"",IF(EOMONTH(Z$4,0)=Packages!$U$10,"G",IF(Z$4&lt;=EOMONTH(Packages!$K$10,Packages!$L$10-1),"D",IF(Z$4&lt;=EOMONTH(Packages!$K$10,Packages!$L$10+Packages!$M$10-1),"B",IF(Z$4&lt;=EOMONTH(Packages!$K$10,Packages!$L$10+Packages!$M$10+Packages!$N$10-1),"U",IF(Z$4&lt;=Packages!$U$10,"G",IF(Z$4&lt;=Packages!$V$10,"S","")))))))</f>
        <v/>
      </c>
      <c r="AA10" s="64" t="str">
        <f>IF(AA$4&lt;Packages!$K$10,"",IF(EOMONTH(AA$4,0)=Packages!$U$10,"G",IF(AA$4&lt;=EOMONTH(Packages!$K$10,Packages!$L$10-1),"D",IF(AA$4&lt;=EOMONTH(Packages!$K$10,Packages!$L$10+Packages!$M$10-1),"B",IF(AA$4&lt;=EOMONTH(Packages!$K$10,Packages!$L$10+Packages!$M$10+Packages!$N$10-1),"U",IF(AA$4&lt;=Packages!$U$10,"G",IF(AA$4&lt;=Packages!$V$10,"S","")))))))</f>
        <v>D</v>
      </c>
      <c r="AB10" s="64" t="str">
        <f>IF(AB$4&lt;Packages!$K$10,"",IF(EOMONTH(AB$4,0)=Packages!$U$10,"G",IF(AB$4&lt;=EOMONTH(Packages!$K$10,Packages!$L$10-1),"D",IF(AB$4&lt;=EOMONTH(Packages!$K$10,Packages!$L$10+Packages!$M$10-1),"B",IF(AB$4&lt;=EOMONTH(Packages!$K$10,Packages!$L$10+Packages!$M$10+Packages!$N$10-1),"U",IF(AB$4&lt;=Packages!$U$10,"G",IF(AB$4&lt;=Packages!$V$10,"S","")))))))</f>
        <v>B</v>
      </c>
      <c r="AC10" s="64" t="str">
        <f>IF(AC$4&lt;Packages!$K$10,"",IF(EOMONTH(AC$4,0)=Packages!$U$10,"G",IF(AC$4&lt;=EOMONTH(Packages!$K$10,Packages!$L$10-1),"D",IF(AC$4&lt;=EOMONTH(Packages!$K$10,Packages!$L$10+Packages!$M$10-1),"B",IF(AC$4&lt;=EOMONTH(Packages!$K$10,Packages!$L$10+Packages!$M$10+Packages!$N$10-1),"U",IF(AC$4&lt;=Packages!$U$10,"G",IF(AC$4&lt;=Packages!$V$10,"S","")))))))</f>
        <v>B</v>
      </c>
      <c r="AD10" s="64" t="str">
        <f>IF(AD$4&lt;Packages!$K$10,"",IF(EOMONTH(AD$4,0)=Packages!$U$10,"G",IF(AD$4&lt;=EOMONTH(Packages!$K$10,Packages!$L$10-1),"D",IF(AD$4&lt;=EOMONTH(Packages!$K$10,Packages!$L$10+Packages!$M$10-1),"B",IF(AD$4&lt;=EOMONTH(Packages!$K$10,Packages!$L$10+Packages!$M$10+Packages!$N$10-1),"U",IF(AD$4&lt;=Packages!$U$10,"G",IF(AD$4&lt;=Packages!$V$10,"S","")))))))</f>
        <v>B</v>
      </c>
      <c r="AE10" s="64" t="str">
        <f>IF(AE$4&lt;Packages!$K$10,"",IF(EOMONTH(AE$4,0)=Packages!$U$10,"G",IF(AE$4&lt;=EOMONTH(Packages!$K$10,Packages!$L$10-1),"D",IF(AE$4&lt;=EOMONTH(Packages!$K$10,Packages!$L$10+Packages!$M$10-1),"B",IF(AE$4&lt;=EOMONTH(Packages!$K$10,Packages!$L$10+Packages!$M$10+Packages!$N$10-1),"U",IF(AE$4&lt;=Packages!$U$10,"G",IF(AE$4&lt;=Packages!$V$10,"S","")))))))</f>
        <v>U</v>
      </c>
      <c r="AF10" s="64" t="str">
        <f>IF(AF$4&lt;Packages!$K$10,"",IF(EOMONTH(AF$4,0)=Packages!$U$10,"G",IF(AF$4&lt;=EOMONTH(Packages!$K$10,Packages!$L$10-1),"D",IF(AF$4&lt;=EOMONTH(Packages!$K$10,Packages!$L$10+Packages!$M$10-1),"B",IF(AF$4&lt;=EOMONTH(Packages!$K$10,Packages!$L$10+Packages!$M$10+Packages!$N$10-1),"U",IF(AF$4&lt;=Packages!$U$10,"G",IF(AF$4&lt;=Packages!$V$10,"S","")))))))</f>
        <v>G</v>
      </c>
      <c r="AG10" s="64" t="str">
        <f>IF(AG$4&lt;Packages!$K$10,"",IF(EOMONTH(AG$4,0)=Packages!$U$10,"G",IF(AG$4&lt;=EOMONTH(Packages!$K$10,Packages!$L$10-1),"D",IF(AG$4&lt;=EOMONTH(Packages!$K$10,Packages!$L$10+Packages!$M$10-1),"B",IF(AG$4&lt;=EOMONTH(Packages!$K$10,Packages!$L$10+Packages!$M$10+Packages!$N$10-1),"U",IF(AG$4&lt;=Packages!$U$10,"G",IF(AG$4&lt;=Packages!$V$10,"S","")))))))</f>
        <v>S</v>
      </c>
      <c r="AH10" s="64" t="str">
        <f>IF(AH$4&lt;Packages!$K$10,"",IF(EOMONTH(AH$4,0)=Packages!$U$10,"G",IF(AH$4&lt;=EOMONTH(Packages!$K$10,Packages!$L$10-1),"D",IF(AH$4&lt;=EOMONTH(Packages!$K$10,Packages!$L$10+Packages!$M$10-1),"B",IF(AH$4&lt;=EOMONTH(Packages!$K$10,Packages!$L$10+Packages!$M$10+Packages!$N$10-1),"U",IF(AH$4&lt;=Packages!$U$10,"G",IF(AH$4&lt;=Packages!$V$10,"S","")))))))</f>
        <v>S</v>
      </c>
      <c r="AI10" s="64" t="str">
        <f>IF(AI$4&lt;Packages!$K$10,"",IF(EOMONTH(AI$4,0)=Packages!$U$10,"G",IF(AI$4&lt;=EOMONTH(Packages!$K$10,Packages!$L$10-1),"D",IF(AI$4&lt;=EOMONTH(Packages!$K$10,Packages!$L$10+Packages!$M$10-1),"B",IF(AI$4&lt;=EOMONTH(Packages!$K$10,Packages!$L$10+Packages!$M$10+Packages!$N$10-1),"U",IF(AI$4&lt;=Packages!$U$10,"G",IF(AI$4&lt;=Packages!$V$10,"S","")))))))</f>
        <v>S</v>
      </c>
      <c r="AJ10" s="64" t="str">
        <f>IF(AJ$4&lt;Packages!$K$10,"",IF(EOMONTH(AJ$4,0)=Packages!$U$10,"G",IF(AJ$4&lt;=EOMONTH(Packages!$K$10,Packages!$L$10-1),"D",IF(AJ$4&lt;=EOMONTH(Packages!$K$10,Packages!$L$10+Packages!$M$10-1),"B",IF(AJ$4&lt;=EOMONTH(Packages!$K$10,Packages!$L$10+Packages!$M$10+Packages!$N$10-1),"U",IF(AJ$4&lt;=Packages!$U$10,"G",IF(AJ$4&lt;=Packages!$V$10,"S","")))))))</f>
        <v/>
      </c>
      <c r="AK10" s="64" t="str">
        <f>IF(AK$4&lt;Packages!$K$10,"",IF(EOMONTH(AK$4,0)=Packages!$U$10,"G",IF(AK$4&lt;=EOMONTH(Packages!$K$10,Packages!$L$10-1),"D",IF(AK$4&lt;=EOMONTH(Packages!$K$10,Packages!$L$10+Packages!$M$10-1),"B",IF(AK$4&lt;=EOMONTH(Packages!$K$10,Packages!$L$10+Packages!$M$10+Packages!$N$10-1),"U",IF(AK$4&lt;=Packages!$U$10,"G",IF(AK$4&lt;=Packages!$V$10,"S","")))))))</f>
        <v/>
      </c>
      <c r="AL10" s="64" t="str">
        <f>IF(AL$4&lt;Packages!$K$10,"",IF(EOMONTH(AL$4,0)=Packages!$U$10,"G",IF(AL$4&lt;=EOMONTH(Packages!$K$10,Packages!$L$10-1),"D",IF(AL$4&lt;=EOMONTH(Packages!$K$10,Packages!$L$10+Packages!$M$10-1),"B",IF(AL$4&lt;=EOMONTH(Packages!$K$10,Packages!$L$10+Packages!$M$10+Packages!$N$10-1),"U",IF(AL$4&lt;=Packages!$U$10,"G",IF(AL$4&lt;=Packages!$V$10,"S","")))))))</f>
        <v/>
      </c>
      <c r="AM10" s="64" t="str">
        <f>IF(AM$4&lt;Packages!$K$10,"",IF(EOMONTH(AM$4,0)=Packages!$U$10,"G",IF(AM$4&lt;=EOMONTH(Packages!$K$10,Packages!$L$10-1),"D",IF(AM$4&lt;=EOMONTH(Packages!$K$10,Packages!$L$10+Packages!$M$10-1),"B",IF(AM$4&lt;=EOMONTH(Packages!$K$10,Packages!$L$10+Packages!$M$10+Packages!$N$10-1),"U",IF(AM$4&lt;=Packages!$U$10,"G",IF(AM$4&lt;=Packages!$V$10,"S","")))))))</f>
        <v/>
      </c>
      <c r="AN10" s="64" t="str">
        <f>IF(AN$4&lt;Packages!$K$10,"",IF(EOMONTH(AN$4,0)=Packages!$U$10,"G",IF(AN$4&lt;=EOMONTH(Packages!$K$10,Packages!$L$10-1),"D",IF(AN$4&lt;=EOMONTH(Packages!$K$10,Packages!$L$10+Packages!$M$10-1),"B",IF(AN$4&lt;=EOMONTH(Packages!$K$10,Packages!$L$10+Packages!$M$10+Packages!$N$10-1),"U",IF(AN$4&lt;=Packages!$U$10,"G",IF(AN$4&lt;=Packages!$V$10,"S","")))))))</f>
        <v/>
      </c>
      <c r="AO10" s="64" t="str">
        <f>IF(AO$4&lt;Packages!$K$10,"",IF(EOMONTH(AO$4,0)=Packages!$U$10,"G",IF(AO$4&lt;=EOMONTH(Packages!$K$10,Packages!$L$10-1),"D",IF(AO$4&lt;=EOMONTH(Packages!$K$10,Packages!$L$10+Packages!$M$10-1),"B",IF(AO$4&lt;=EOMONTH(Packages!$K$10,Packages!$L$10+Packages!$M$10+Packages!$N$10-1),"U",IF(AO$4&lt;=Packages!$U$10,"G",IF(AO$4&lt;=Packages!$V$10,"S","")))))))</f>
        <v/>
      </c>
    </row>
    <row r="11" ht="30" customHeight="1" spans="1:41" x14ac:dyDescent="0.25">
      <c r="A11" s="10" t="str">
        <f>Packages!A11</f>
        <v>WP7</v>
      </c>
      <c r="B11" s="11" t="str">
        <f>Packages!B11</f>
        <v>I&amp;S Metrology Calibration (NML), Building measurement, BSW API integration, Importer/Exporter certificates*</v>
      </c>
      <c r="C11" s="64" t="str">
        <f>IF(C$4&lt;Packages!$K$11,"",IF(EOMONTH(C$4,0)=Packages!$U$11,"G",IF(C$4&lt;=EOMONTH(Packages!$K$11,Packages!$L$11-1),"D",IF(C$4&lt;=EOMONTH(Packages!$K$11,Packages!$L$11+Packages!$M$11-1),"B",IF(C$4&lt;=EOMONTH(Packages!$K$11,Packages!$L$11+Packages!$M$11+Packages!$N$11-1),"U",IF(C$4&lt;=Packages!$U$11,"G",IF(C$4&lt;=Packages!$V$11,"S","")))))))</f>
        <v/>
      </c>
      <c r="D11" s="64" t="str">
        <f>IF(D$4&lt;Packages!$K$11,"",IF(EOMONTH(D$4,0)=Packages!$U$11,"G",IF(D$4&lt;=EOMONTH(Packages!$K$11,Packages!$L$11-1),"D",IF(D$4&lt;=EOMONTH(Packages!$K$11,Packages!$L$11+Packages!$M$11-1),"B",IF(D$4&lt;=EOMONTH(Packages!$K$11,Packages!$L$11+Packages!$M$11+Packages!$N$11-1),"U",IF(D$4&lt;=Packages!$U$11,"G",IF(D$4&lt;=Packages!$V$11,"S","")))))))</f>
        <v/>
      </c>
      <c r="E11" s="64" t="str">
        <f>IF(E$4&lt;Packages!$K$11,"",IF(EOMONTH(E$4,0)=Packages!$U$11,"G",IF(E$4&lt;=EOMONTH(Packages!$K$11,Packages!$L$11-1),"D",IF(E$4&lt;=EOMONTH(Packages!$K$11,Packages!$L$11+Packages!$M$11-1),"B",IF(E$4&lt;=EOMONTH(Packages!$K$11,Packages!$L$11+Packages!$M$11+Packages!$N$11-1),"U",IF(E$4&lt;=Packages!$U$11,"G",IF(E$4&lt;=Packages!$V$11,"S","")))))))</f>
        <v/>
      </c>
      <c r="F11" s="64" t="str">
        <f>IF(F$4&lt;Packages!$K$11,"",IF(EOMONTH(F$4,0)=Packages!$U$11,"G",IF(F$4&lt;=EOMONTH(Packages!$K$11,Packages!$L$11-1),"D",IF(F$4&lt;=EOMONTH(Packages!$K$11,Packages!$L$11+Packages!$M$11-1),"B",IF(F$4&lt;=EOMONTH(Packages!$K$11,Packages!$L$11+Packages!$M$11+Packages!$N$11-1),"U",IF(F$4&lt;=Packages!$U$11,"G",IF(F$4&lt;=Packages!$V$11,"S","")))))))</f>
        <v/>
      </c>
      <c r="G11" s="64" t="str">
        <f>IF(G$4&lt;Packages!$K$11,"",IF(EOMONTH(G$4,0)=Packages!$U$11,"G",IF(G$4&lt;=EOMONTH(Packages!$K$11,Packages!$L$11-1),"D",IF(G$4&lt;=EOMONTH(Packages!$K$11,Packages!$L$11+Packages!$M$11-1),"B",IF(G$4&lt;=EOMONTH(Packages!$K$11,Packages!$L$11+Packages!$M$11+Packages!$N$11-1),"U",IF(G$4&lt;=Packages!$U$11,"G",IF(G$4&lt;=Packages!$V$11,"S","")))))))</f>
        <v/>
      </c>
      <c r="H11" s="64" t="str">
        <f>IF(H$4&lt;Packages!$K$11,"",IF(EOMONTH(H$4,0)=Packages!$U$11,"G",IF(H$4&lt;=EOMONTH(Packages!$K$11,Packages!$L$11-1),"D",IF(H$4&lt;=EOMONTH(Packages!$K$11,Packages!$L$11+Packages!$M$11-1),"B",IF(H$4&lt;=EOMONTH(Packages!$K$11,Packages!$L$11+Packages!$M$11+Packages!$N$11-1),"U",IF(H$4&lt;=Packages!$U$11,"G",IF(H$4&lt;=Packages!$V$11,"S","")))))))</f>
        <v/>
      </c>
      <c r="I11" s="64" t="str">
        <f>IF(I$4&lt;Packages!$K$11,"",IF(EOMONTH(I$4,0)=Packages!$U$11,"G",IF(I$4&lt;=EOMONTH(Packages!$K$11,Packages!$L$11-1),"D",IF(I$4&lt;=EOMONTH(Packages!$K$11,Packages!$L$11+Packages!$M$11-1),"B",IF(I$4&lt;=EOMONTH(Packages!$K$11,Packages!$L$11+Packages!$M$11+Packages!$N$11-1),"U",IF(I$4&lt;=Packages!$U$11,"G",IF(I$4&lt;=Packages!$V$11,"S","")))))))</f>
        <v/>
      </c>
      <c r="J11" s="64" t="str">
        <f>IF(J$4&lt;Packages!$K$11,"",IF(EOMONTH(J$4,0)=Packages!$U$11,"G",IF(J$4&lt;=EOMONTH(Packages!$K$11,Packages!$L$11-1),"D",IF(J$4&lt;=EOMONTH(Packages!$K$11,Packages!$L$11+Packages!$M$11-1),"B",IF(J$4&lt;=EOMONTH(Packages!$K$11,Packages!$L$11+Packages!$M$11+Packages!$N$11-1),"U",IF(J$4&lt;=Packages!$U$11,"G",IF(J$4&lt;=Packages!$V$11,"S","")))))))</f>
        <v/>
      </c>
      <c r="K11" s="64" t="str">
        <f>IF(K$4&lt;Packages!$K$11,"",IF(EOMONTH(K$4,0)=Packages!$U$11,"G",IF(K$4&lt;=EOMONTH(Packages!$K$11,Packages!$L$11-1),"D",IF(K$4&lt;=EOMONTH(Packages!$K$11,Packages!$L$11+Packages!$M$11-1),"B",IF(K$4&lt;=EOMONTH(Packages!$K$11,Packages!$L$11+Packages!$M$11+Packages!$N$11-1),"U",IF(K$4&lt;=Packages!$U$11,"G",IF(K$4&lt;=Packages!$V$11,"S","")))))))</f>
        <v/>
      </c>
      <c r="L11" s="64" t="str">
        <f>IF(L$4&lt;Packages!$K$11,"",IF(EOMONTH(L$4,0)=Packages!$U$11,"G",IF(L$4&lt;=EOMONTH(Packages!$K$11,Packages!$L$11-1),"D",IF(L$4&lt;=EOMONTH(Packages!$K$11,Packages!$L$11+Packages!$M$11-1),"B",IF(L$4&lt;=EOMONTH(Packages!$K$11,Packages!$L$11+Packages!$M$11+Packages!$N$11-1),"U",IF(L$4&lt;=Packages!$U$11,"G",IF(L$4&lt;=Packages!$V$11,"S","")))))))</f>
        <v/>
      </c>
      <c r="M11" s="64" t="str">
        <f>IF(M$4&lt;Packages!$K$11,"",IF(EOMONTH(M$4,0)=Packages!$U$11,"G",IF(M$4&lt;=EOMONTH(Packages!$K$11,Packages!$L$11-1),"D",IF(M$4&lt;=EOMONTH(Packages!$K$11,Packages!$L$11+Packages!$M$11-1),"B",IF(M$4&lt;=EOMONTH(Packages!$K$11,Packages!$L$11+Packages!$M$11+Packages!$N$11-1),"U",IF(M$4&lt;=Packages!$U$11,"G",IF(M$4&lt;=Packages!$V$11,"S","")))))))</f>
        <v/>
      </c>
      <c r="N11" s="64" t="str">
        <f>IF(N$4&lt;Packages!$K$11,"",IF(EOMONTH(N$4,0)=Packages!$U$11,"G",IF(N$4&lt;=EOMONTH(Packages!$K$11,Packages!$L$11-1),"D",IF(N$4&lt;=EOMONTH(Packages!$K$11,Packages!$L$11+Packages!$M$11-1),"B",IF(N$4&lt;=EOMONTH(Packages!$K$11,Packages!$L$11+Packages!$M$11+Packages!$N$11-1),"U",IF(N$4&lt;=Packages!$U$11,"G",IF(N$4&lt;=Packages!$V$11,"S","")))))))</f>
        <v/>
      </c>
      <c r="O11" s="64" t="str">
        <f>IF(O$4&lt;Packages!$K$11,"",IF(EOMONTH(O$4,0)=Packages!$U$11,"G",IF(O$4&lt;=EOMONTH(Packages!$K$11,Packages!$L$11-1),"D",IF(O$4&lt;=EOMONTH(Packages!$K$11,Packages!$L$11+Packages!$M$11-1),"B",IF(O$4&lt;=EOMONTH(Packages!$K$11,Packages!$L$11+Packages!$M$11+Packages!$N$11-1),"U",IF(O$4&lt;=Packages!$U$11,"G",IF(O$4&lt;=Packages!$V$11,"S","")))))))</f>
        <v/>
      </c>
      <c r="P11" s="64" t="str">
        <f>IF(P$4&lt;Packages!$K$11,"",IF(EOMONTH(P$4,0)=Packages!$U$11,"G",IF(P$4&lt;=EOMONTH(Packages!$K$11,Packages!$L$11-1),"D",IF(P$4&lt;=EOMONTH(Packages!$K$11,Packages!$L$11+Packages!$M$11-1),"B",IF(P$4&lt;=EOMONTH(Packages!$K$11,Packages!$L$11+Packages!$M$11+Packages!$N$11-1),"U",IF(P$4&lt;=Packages!$U$11,"G",IF(P$4&lt;=Packages!$V$11,"S","")))))))</f>
        <v/>
      </c>
      <c r="Q11" s="64" t="str">
        <f>IF(Q$4&lt;Packages!$K$11,"",IF(EOMONTH(Q$4,0)=Packages!$U$11,"G",IF(Q$4&lt;=EOMONTH(Packages!$K$11,Packages!$L$11-1),"D",IF(Q$4&lt;=EOMONTH(Packages!$K$11,Packages!$L$11+Packages!$M$11-1),"B",IF(Q$4&lt;=EOMONTH(Packages!$K$11,Packages!$L$11+Packages!$M$11+Packages!$N$11-1),"U",IF(Q$4&lt;=Packages!$U$11,"G",IF(Q$4&lt;=Packages!$V$11,"S","")))))))</f>
        <v/>
      </c>
      <c r="R11" s="64" t="str">
        <f>IF(R$4&lt;Packages!$K$11,"",IF(EOMONTH(R$4,0)=Packages!$U$11,"G",IF(R$4&lt;=EOMONTH(Packages!$K$11,Packages!$L$11-1),"D",IF(R$4&lt;=EOMONTH(Packages!$K$11,Packages!$L$11+Packages!$M$11-1),"B",IF(R$4&lt;=EOMONTH(Packages!$K$11,Packages!$L$11+Packages!$M$11+Packages!$N$11-1),"U",IF(R$4&lt;=Packages!$U$11,"G",IF(R$4&lt;=Packages!$V$11,"S","")))))))</f>
        <v/>
      </c>
      <c r="S11" s="64" t="str">
        <f>IF(S$4&lt;Packages!$K$11,"",IF(EOMONTH(S$4,0)=Packages!$U$11,"G",IF(S$4&lt;=EOMONTH(Packages!$K$11,Packages!$L$11-1),"D",IF(S$4&lt;=EOMONTH(Packages!$K$11,Packages!$L$11+Packages!$M$11-1),"B",IF(S$4&lt;=EOMONTH(Packages!$K$11,Packages!$L$11+Packages!$M$11+Packages!$N$11-1),"U",IF(S$4&lt;=Packages!$U$11,"G",IF(S$4&lt;=Packages!$V$11,"S","")))))))</f>
        <v/>
      </c>
      <c r="T11" s="64" t="str">
        <f>IF(T$4&lt;Packages!$K$11,"",IF(EOMONTH(T$4,0)=Packages!$U$11,"G",IF(T$4&lt;=EOMONTH(Packages!$K$11,Packages!$L$11-1),"D",IF(T$4&lt;=EOMONTH(Packages!$K$11,Packages!$L$11+Packages!$M$11-1),"B",IF(T$4&lt;=EOMONTH(Packages!$K$11,Packages!$L$11+Packages!$M$11+Packages!$N$11-1),"U",IF(T$4&lt;=Packages!$U$11,"G",IF(T$4&lt;=Packages!$V$11,"S","")))))))</f>
        <v/>
      </c>
      <c r="U11" s="64" t="str">
        <f>IF(U$4&lt;Packages!$K$11,"",IF(EOMONTH(U$4,0)=Packages!$U$11,"G",IF(U$4&lt;=EOMONTH(Packages!$K$11,Packages!$L$11-1),"D",IF(U$4&lt;=EOMONTH(Packages!$K$11,Packages!$L$11+Packages!$M$11-1),"B",IF(U$4&lt;=EOMONTH(Packages!$K$11,Packages!$L$11+Packages!$M$11+Packages!$N$11-1),"U",IF(U$4&lt;=Packages!$U$11,"G",IF(U$4&lt;=Packages!$V$11,"S","")))))))</f>
        <v/>
      </c>
      <c r="V11" s="64" t="str">
        <f>IF(V$4&lt;Packages!$K$11,"",IF(EOMONTH(V$4,0)=Packages!$U$11,"G",IF(V$4&lt;=EOMONTH(Packages!$K$11,Packages!$L$11-1),"D",IF(V$4&lt;=EOMONTH(Packages!$K$11,Packages!$L$11+Packages!$M$11-1),"B",IF(V$4&lt;=EOMONTH(Packages!$K$11,Packages!$L$11+Packages!$M$11+Packages!$N$11-1),"U",IF(V$4&lt;=Packages!$U$11,"G",IF(V$4&lt;=Packages!$V$11,"S","")))))))</f>
        <v/>
      </c>
      <c r="W11" s="64" t="str">
        <f>IF(W$4&lt;Packages!$K$11,"",IF(EOMONTH(W$4,0)=Packages!$U$11,"G",IF(W$4&lt;=EOMONTH(Packages!$K$11,Packages!$L$11-1),"D",IF(W$4&lt;=EOMONTH(Packages!$K$11,Packages!$L$11+Packages!$M$11-1),"B",IF(W$4&lt;=EOMONTH(Packages!$K$11,Packages!$L$11+Packages!$M$11+Packages!$N$11-1),"U",IF(W$4&lt;=Packages!$U$11,"G",IF(W$4&lt;=Packages!$V$11,"S","")))))))</f>
        <v/>
      </c>
      <c r="X11" s="64" t="str">
        <f>IF(X$4&lt;Packages!$K$11,"",IF(EOMONTH(X$4,0)=Packages!$U$11,"G",IF(X$4&lt;=EOMONTH(Packages!$K$11,Packages!$L$11-1),"D",IF(X$4&lt;=EOMONTH(Packages!$K$11,Packages!$L$11+Packages!$M$11-1),"B",IF(X$4&lt;=EOMONTH(Packages!$K$11,Packages!$L$11+Packages!$M$11+Packages!$N$11-1),"U",IF(X$4&lt;=Packages!$U$11,"G",IF(X$4&lt;=Packages!$V$11,"S","")))))))</f>
        <v/>
      </c>
      <c r="Y11" s="64" t="str">
        <f>IF(Y$4&lt;Packages!$K$11,"",IF(EOMONTH(Y$4,0)=Packages!$U$11,"G",IF(Y$4&lt;=EOMONTH(Packages!$K$11,Packages!$L$11-1),"D",IF(Y$4&lt;=EOMONTH(Packages!$K$11,Packages!$L$11+Packages!$M$11-1),"B",IF(Y$4&lt;=EOMONTH(Packages!$K$11,Packages!$L$11+Packages!$M$11+Packages!$N$11-1),"U",IF(Y$4&lt;=Packages!$U$11,"G",IF(Y$4&lt;=Packages!$V$11,"S","")))))))</f>
        <v/>
      </c>
      <c r="Z11" s="64" t="str">
        <f>IF(Z$4&lt;Packages!$K$11,"",IF(EOMONTH(Z$4,0)=Packages!$U$11,"G",IF(Z$4&lt;=EOMONTH(Packages!$K$11,Packages!$L$11-1),"D",IF(Z$4&lt;=EOMONTH(Packages!$K$11,Packages!$L$11+Packages!$M$11-1),"B",IF(Z$4&lt;=EOMONTH(Packages!$K$11,Packages!$L$11+Packages!$M$11+Packages!$N$11-1),"U",IF(Z$4&lt;=Packages!$U$11,"G",IF(Z$4&lt;=Packages!$V$11,"S","")))))))</f>
        <v/>
      </c>
      <c r="AA11" s="64" t="str">
        <f>IF(AA$4&lt;Packages!$K$11,"",IF(EOMONTH(AA$4,0)=Packages!$U$11,"G",IF(AA$4&lt;=EOMONTH(Packages!$K$11,Packages!$L$11-1),"D",IF(AA$4&lt;=EOMONTH(Packages!$K$11,Packages!$L$11+Packages!$M$11-1),"B",IF(AA$4&lt;=EOMONTH(Packages!$K$11,Packages!$L$11+Packages!$M$11+Packages!$N$11-1),"U",IF(AA$4&lt;=Packages!$U$11,"G",IF(AA$4&lt;=Packages!$V$11,"S","")))))))</f>
        <v/>
      </c>
      <c r="AB11" s="64" t="str">
        <f>IF(AB$4&lt;Packages!$K$11,"",IF(EOMONTH(AB$4,0)=Packages!$U$11,"G",IF(AB$4&lt;=EOMONTH(Packages!$K$11,Packages!$L$11-1),"D",IF(AB$4&lt;=EOMONTH(Packages!$K$11,Packages!$L$11+Packages!$M$11-1),"B",IF(AB$4&lt;=EOMONTH(Packages!$K$11,Packages!$L$11+Packages!$M$11+Packages!$N$11-1),"U",IF(AB$4&lt;=Packages!$U$11,"G",IF(AB$4&lt;=Packages!$V$11,"S","")))))))</f>
        <v/>
      </c>
      <c r="AC11" s="64" t="str">
        <f>IF(AC$4&lt;Packages!$K$11,"",IF(EOMONTH(AC$4,0)=Packages!$U$11,"G",IF(AC$4&lt;=EOMONTH(Packages!$K$11,Packages!$L$11-1),"D",IF(AC$4&lt;=EOMONTH(Packages!$K$11,Packages!$L$11+Packages!$M$11-1),"B",IF(AC$4&lt;=EOMONTH(Packages!$K$11,Packages!$L$11+Packages!$M$11+Packages!$N$11-1),"U",IF(AC$4&lt;=Packages!$U$11,"G",IF(AC$4&lt;=Packages!$V$11,"S","")))))))</f>
        <v/>
      </c>
      <c r="AD11" s="64" t="str">
        <f>IF(AD$4&lt;Packages!$K$11,"",IF(EOMONTH(AD$4,0)=Packages!$U$11,"G",IF(AD$4&lt;=EOMONTH(Packages!$K$11,Packages!$L$11-1),"D",IF(AD$4&lt;=EOMONTH(Packages!$K$11,Packages!$L$11+Packages!$M$11-1),"B",IF(AD$4&lt;=EOMONTH(Packages!$K$11,Packages!$L$11+Packages!$M$11+Packages!$N$11-1),"U",IF(AD$4&lt;=Packages!$U$11,"G",IF(AD$4&lt;=Packages!$V$11,"S","")))))))</f>
        <v/>
      </c>
      <c r="AE11" s="64" t="str">
        <f>IF(AE$4&lt;Packages!$K$11,"",IF(EOMONTH(AE$4,0)=Packages!$U$11,"G",IF(AE$4&lt;=EOMONTH(Packages!$K$11,Packages!$L$11-1),"D",IF(AE$4&lt;=EOMONTH(Packages!$K$11,Packages!$L$11+Packages!$M$11-1),"B",IF(AE$4&lt;=EOMONTH(Packages!$K$11,Packages!$L$11+Packages!$M$11+Packages!$N$11-1),"U",IF(AE$4&lt;=Packages!$U$11,"G",IF(AE$4&lt;=Packages!$V$11,"S","")))))))</f>
        <v/>
      </c>
      <c r="AF11" s="64" t="str">
        <f>IF(AF$4&lt;Packages!$K$11,"",IF(EOMONTH(AF$4,0)=Packages!$U$11,"G",IF(AF$4&lt;=EOMONTH(Packages!$K$11,Packages!$L$11-1),"D",IF(AF$4&lt;=EOMONTH(Packages!$K$11,Packages!$L$11+Packages!$M$11-1),"B",IF(AF$4&lt;=EOMONTH(Packages!$K$11,Packages!$L$11+Packages!$M$11+Packages!$N$11-1),"U",IF(AF$4&lt;=Packages!$U$11,"G",IF(AF$4&lt;=Packages!$V$11,"S","")))))))</f>
        <v/>
      </c>
      <c r="AG11" s="64" t="str">
        <f>IF(AG$4&lt;Packages!$K$11,"",IF(EOMONTH(AG$4,0)=Packages!$U$11,"G",IF(AG$4&lt;=EOMONTH(Packages!$K$11,Packages!$L$11-1),"D",IF(AG$4&lt;=EOMONTH(Packages!$K$11,Packages!$L$11+Packages!$M$11-1),"B",IF(AG$4&lt;=EOMONTH(Packages!$K$11,Packages!$L$11+Packages!$M$11+Packages!$N$11-1),"U",IF(AG$4&lt;=Packages!$U$11,"G",IF(AG$4&lt;=Packages!$V$11,"S","")))))))</f>
        <v>D</v>
      </c>
      <c r="AH11" s="64" t="str">
        <f>IF(AH$4&lt;Packages!$K$11,"",IF(EOMONTH(AH$4,0)=Packages!$U$11,"G",IF(AH$4&lt;=EOMONTH(Packages!$K$11,Packages!$L$11-1),"D",IF(AH$4&lt;=EOMONTH(Packages!$K$11,Packages!$L$11+Packages!$M$11-1),"B",IF(AH$4&lt;=EOMONTH(Packages!$K$11,Packages!$L$11+Packages!$M$11+Packages!$N$11-1),"U",IF(AH$4&lt;=Packages!$U$11,"G",IF(AH$4&lt;=Packages!$V$11,"S","")))))))</f>
        <v>B</v>
      </c>
      <c r="AI11" s="64" t="str">
        <f>IF(AI$4&lt;Packages!$K$11,"",IF(EOMONTH(AI$4,0)=Packages!$U$11,"G",IF(AI$4&lt;=EOMONTH(Packages!$K$11,Packages!$L$11-1),"D",IF(AI$4&lt;=EOMONTH(Packages!$K$11,Packages!$L$11+Packages!$M$11-1),"B",IF(AI$4&lt;=EOMONTH(Packages!$K$11,Packages!$L$11+Packages!$M$11+Packages!$N$11-1),"U",IF(AI$4&lt;=Packages!$U$11,"G",IF(AI$4&lt;=Packages!$V$11,"S","")))))))</f>
        <v>B</v>
      </c>
      <c r="AJ11" s="64" t="str">
        <f>IF(AJ$4&lt;Packages!$K$11,"",IF(EOMONTH(AJ$4,0)=Packages!$U$11,"G",IF(AJ$4&lt;=EOMONTH(Packages!$K$11,Packages!$L$11-1),"D",IF(AJ$4&lt;=EOMONTH(Packages!$K$11,Packages!$L$11+Packages!$M$11-1),"B",IF(AJ$4&lt;=EOMONTH(Packages!$K$11,Packages!$L$11+Packages!$M$11+Packages!$N$11-1),"U",IF(AJ$4&lt;=Packages!$U$11,"G",IF(AJ$4&lt;=Packages!$V$11,"S","")))))))</f>
        <v>B</v>
      </c>
      <c r="AK11" s="64" t="str">
        <f>IF(AK$4&lt;Packages!$K$11,"",IF(EOMONTH(AK$4,0)=Packages!$U$11,"G",IF(AK$4&lt;=EOMONTH(Packages!$K$11,Packages!$L$11-1),"D",IF(AK$4&lt;=EOMONTH(Packages!$K$11,Packages!$L$11+Packages!$M$11-1),"B",IF(AK$4&lt;=EOMONTH(Packages!$K$11,Packages!$L$11+Packages!$M$11+Packages!$N$11-1),"U",IF(AK$4&lt;=Packages!$U$11,"G",IF(AK$4&lt;=Packages!$V$11,"S","")))))))</f>
        <v>U</v>
      </c>
      <c r="AL11" s="64" t="str">
        <f>IF(AL$4&lt;Packages!$K$11,"",IF(EOMONTH(AL$4,0)=Packages!$U$11,"G",IF(AL$4&lt;=EOMONTH(Packages!$K$11,Packages!$L$11-1),"D",IF(AL$4&lt;=EOMONTH(Packages!$K$11,Packages!$L$11+Packages!$M$11-1),"B",IF(AL$4&lt;=EOMONTH(Packages!$K$11,Packages!$L$11+Packages!$M$11+Packages!$N$11-1),"U",IF(AL$4&lt;=Packages!$U$11,"G",IF(AL$4&lt;=Packages!$V$11,"S","")))))))</f>
        <v>G</v>
      </c>
      <c r="AM11" s="64" t="str">
        <f>IF(AM$4&lt;Packages!$K$11,"",IF(EOMONTH(AM$4,0)=Packages!$U$11,"G",IF(AM$4&lt;=EOMONTH(Packages!$K$11,Packages!$L$11-1),"D",IF(AM$4&lt;=EOMONTH(Packages!$K$11,Packages!$L$11+Packages!$M$11-1),"B",IF(AM$4&lt;=EOMONTH(Packages!$K$11,Packages!$L$11+Packages!$M$11+Packages!$N$11-1),"U",IF(AM$4&lt;=Packages!$U$11,"G",IF(AM$4&lt;=Packages!$V$11,"S","")))))))</f>
        <v>S</v>
      </c>
      <c r="AN11" s="64" t="str">
        <f>IF(AN$4&lt;Packages!$K$11,"",IF(EOMONTH(AN$4,0)=Packages!$U$11,"G",IF(AN$4&lt;=EOMONTH(Packages!$K$11,Packages!$L$11-1),"D",IF(AN$4&lt;=EOMONTH(Packages!$K$11,Packages!$L$11+Packages!$M$11-1),"B",IF(AN$4&lt;=EOMONTH(Packages!$K$11,Packages!$L$11+Packages!$M$11+Packages!$N$11-1),"U",IF(AN$4&lt;=Packages!$U$11,"G",IF(AN$4&lt;=Packages!$V$11,"S","")))))))</f>
        <v>S</v>
      </c>
      <c r="AO11" s="64" t="str">
        <f>IF(AO$4&lt;Packages!$K$11,"",IF(EOMONTH(AO$4,0)=Packages!$U$11,"G",IF(AO$4&lt;=EOMONTH(Packages!$K$11,Packages!$L$11-1),"D",IF(AO$4&lt;=EOMONTH(Packages!$K$11,Packages!$L$11+Packages!$M$11-1),"B",IF(AO$4&lt;=EOMONTH(Packages!$K$11,Packages!$L$11+Packages!$M$11+Packages!$N$11-1),"U",IF(AO$4&lt;=Packages!$U$11,"G",IF(AO$4&lt;=Packages!$V$11,"S","")))))))</f>
        <v>S</v>
      </c>
    </row>
    <row r="12" spans="1:41" x14ac:dyDescent="0.25">
      <c r="B12" s="3" t="s">
        <v>422</v>
      </c>
      <c r="C12" s="65">
        <f>COUNTIF(C5:C11,"D")+COUNTIF(C5:C11,"B")+COUNTIF(C5:C11,"U")+COUNTIF(C5:C11,"G")</f>
        <v>1</v>
      </c>
      <c r="D12" s="65">
        <f>COUNTIF(D5:D11,"D")+COUNTIF(D5:D11,"B")+COUNTIF(D5:D11,"U")+COUNTIF(D5:D11,"G")</f>
        <v>1</v>
      </c>
      <c r="E12" s="65">
        <f>COUNTIF(E5:E11,"D")+COUNTIF(E5:E11,"B")+COUNTIF(E5:E11,"U")+COUNTIF(E5:E11,"G")</f>
        <v>1</v>
      </c>
      <c r="F12" s="65">
        <f>COUNTIF(F5:F11,"D")+COUNTIF(F5:F11,"B")+COUNTIF(F5:F11,"U")+COUNTIF(F5:F11,"G")</f>
        <v>1</v>
      </c>
      <c r="G12" s="65">
        <f>COUNTIF(G5:G11,"D")+COUNTIF(G5:G11,"B")+COUNTIF(G5:G11,"U")+COUNTIF(G5:G11,"G")</f>
        <v>1</v>
      </c>
      <c r="H12" s="65">
        <f>COUNTIF(H5:H11,"D")+COUNTIF(H5:H11,"B")+COUNTIF(H5:H11,"U")+COUNTIF(H5:H11,"G")</f>
        <v>1</v>
      </c>
      <c r="I12" s="65">
        <f>COUNTIF(I5:I11,"D")+COUNTIF(I5:I11,"B")+COUNTIF(I5:I11,"U")+COUNTIF(I5:I11,"G")</f>
        <v>1</v>
      </c>
      <c r="J12" s="65">
        <f>COUNTIF(J5:J11,"D")+COUNTIF(J5:J11,"B")+COUNTIF(J5:J11,"U")+COUNTIF(J5:J11,"G")</f>
        <v>1</v>
      </c>
      <c r="K12" s="65">
        <f>COUNTIF(K5:K11,"D")+COUNTIF(K5:K11,"B")+COUNTIF(K5:K11,"U")+COUNTIF(K5:K11,"G")</f>
        <v>1</v>
      </c>
      <c r="L12" s="65">
        <f>COUNTIF(L5:L11,"D")+COUNTIF(L5:L11,"B")+COUNTIF(L5:L11,"U")+COUNTIF(L5:L11,"G")</f>
        <v>1</v>
      </c>
      <c r="M12" s="65">
        <f>COUNTIF(M5:M11,"D")+COUNTIF(M5:M11,"B")+COUNTIF(M5:M11,"U")+COUNTIF(M5:M11,"G")</f>
        <v>1</v>
      </c>
      <c r="N12" s="65">
        <f>COUNTIF(N5:N11,"D")+COUNTIF(N5:N11,"B")+COUNTIF(N5:N11,"U")+COUNTIF(N5:N11,"G")</f>
        <v>0</v>
      </c>
      <c r="O12" s="65">
        <f>COUNTIF(O5:O11,"D")+COUNTIF(O5:O11,"B")+COUNTIF(O5:O11,"U")+COUNTIF(O5:O11,"G")</f>
        <v>1</v>
      </c>
      <c r="P12" s="65">
        <f>COUNTIF(P5:P11,"D")+COUNTIF(P5:P11,"B")+COUNTIF(P5:P11,"U")+COUNTIF(P5:P11,"G")</f>
        <v>1</v>
      </c>
      <c r="Q12" s="65">
        <f>COUNTIF(Q5:Q11,"D")+COUNTIF(Q5:Q11,"B")+COUNTIF(Q5:Q11,"U")+COUNTIF(Q5:Q11,"G")</f>
        <v>1</v>
      </c>
      <c r="R12" s="65">
        <f>COUNTIF(R5:R11,"D")+COUNTIF(R5:R11,"B")+COUNTIF(R5:R11,"U")+COUNTIF(R5:R11,"G")</f>
        <v>1</v>
      </c>
      <c r="S12" s="65">
        <f>COUNTIF(S5:S11,"D")+COUNTIF(S5:S11,"B")+COUNTIF(S5:S11,"U")+COUNTIF(S5:S11,"G")</f>
        <v>1</v>
      </c>
      <c r="T12" s="65">
        <f>COUNTIF(T5:T11,"D")+COUNTIF(T5:T11,"B")+COUNTIF(T5:T11,"U")+COUNTIF(T5:T11,"G")</f>
        <v>1</v>
      </c>
      <c r="U12" s="65">
        <f>COUNTIF(U5:U11,"D")+COUNTIF(U5:U11,"B")+COUNTIF(U5:U11,"U")+COUNTIF(U5:U11,"G")</f>
        <v>1</v>
      </c>
      <c r="V12" s="65">
        <f>COUNTIF(V5:V11,"D")+COUNTIF(V5:V11,"B")+COUNTIF(V5:V11,"U")+COUNTIF(V5:V11,"G")</f>
        <v>1</v>
      </c>
      <c r="W12" s="65">
        <f>COUNTIF(W5:W11,"D")+COUNTIF(W5:W11,"B")+COUNTIF(W5:W11,"U")+COUNTIF(W5:W11,"G")</f>
        <v>1</v>
      </c>
      <c r="X12" s="65">
        <f>COUNTIF(X5:X11,"D")+COUNTIF(X5:X11,"B")+COUNTIF(X5:X11,"U")+COUNTIF(X5:X11,"G")</f>
        <v>1</v>
      </c>
      <c r="Y12" s="65">
        <f>COUNTIF(Y5:Y11,"D")+COUNTIF(Y5:Y11,"B")+COUNTIF(Y5:Y11,"U")+COUNTIF(Y5:Y11,"G")</f>
        <v>1</v>
      </c>
      <c r="Z12" s="65">
        <f>COUNTIF(Z5:Z11,"D")+COUNTIF(Z5:Z11,"B")+COUNTIF(Z5:Z11,"U")+COUNTIF(Z5:Z11,"G")</f>
        <v>1</v>
      </c>
      <c r="AA12" s="65">
        <f>COUNTIF(AA5:AA11,"D")+COUNTIF(AA5:AA11,"B")+COUNTIF(AA5:AA11,"U")+COUNTIF(AA5:AA11,"G")</f>
        <v>1</v>
      </c>
      <c r="AB12" s="65">
        <f>COUNTIF(AB5:AB11,"D")+COUNTIF(AB5:AB11,"B")+COUNTIF(AB5:AB11,"U")+COUNTIF(AB5:AB11,"G")</f>
        <v>1</v>
      </c>
      <c r="AC12" s="65">
        <f>COUNTIF(AC5:AC11,"D")+COUNTIF(AC5:AC11,"B")+COUNTIF(AC5:AC11,"U")+COUNTIF(AC5:AC11,"G")</f>
        <v>1</v>
      </c>
      <c r="AD12" s="65">
        <f>COUNTIF(AD5:AD11,"D")+COUNTIF(AD5:AD11,"B")+COUNTIF(AD5:AD11,"U")+COUNTIF(AD5:AD11,"G")</f>
        <v>1</v>
      </c>
      <c r="AE12" s="65">
        <f>COUNTIF(AE5:AE11,"D")+COUNTIF(AE5:AE11,"B")+COUNTIF(AE5:AE11,"U")+COUNTIF(AE5:AE11,"G")</f>
        <v>1</v>
      </c>
      <c r="AF12" s="65">
        <f>COUNTIF(AF5:AF11,"D")+COUNTIF(AF5:AF11,"B")+COUNTIF(AF5:AF11,"U")+COUNTIF(AF5:AF11,"G")</f>
        <v>1</v>
      </c>
      <c r="AG12" s="65">
        <f>COUNTIF(AG5:AG11,"D")+COUNTIF(AG5:AG11,"B")+COUNTIF(AG5:AG11,"U")+COUNTIF(AG5:AG11,"G")</f>
        <v>1</v>
      </c>
      <c r="AH12" s="65">
        <f>COUNTIF(AH5:AH11,"D")+COUNTIF(AH5:AH11,"B")+COUNTIF(AH5:AH11,"U")+COUNTIF(AH5:AH11,"G")</f>
        <v>1</v>
      </c>
      <c r="AI12" s="65">
        <f>COUNTIF(AI5:AI11,"D")+COUNTIF(AI5:AI11,"B")+COUNTIF(AI5:AI11,"U")+COUNTIF(AI5:AI11,"G")</f>
        <v>1</v>
      </c>
      <c r="AJ12" s="65">
        <f>COUNTIF(AJ5:AJ11,"D")+COUNTIF(AJ5:AJ11,"B")+COUNTIF(AJ5:AJ11,"U")+COUNTIF(AJ5:AJ11,"G")</f>
        <v>1</v>
      </c>
      <c r="AK12" s="65">
        <f>COUNTIF(AK5:AK11,"D")+COUNTIF(AK5:AK11,"B")+COUNTIF(AK5:AK11,"U")+COUNTIF(AK5:AK11,"G")</f>
        <v>1</v>
      </c>
      <c r="AL12" s="65">
        <f>COUNTIF(AL5:AL11,"D")+COUNTIF(AL5:AL11,"B")+COUNTIF(AL5:AL11,"U")+COUNTIF(AL5:AL11,"G")</f>
        <v>1</v>
      </c>
      <c r="AM12" s="65">
        <f>COUNTIF(AM5:AM11,"D")+COUNTIF(AM5:AM11,"B")+COUNTIF(AM5:AM11,"U")+COUNTIF(AM5:AM11,"G")</f>
        <v>0</v>
      </c>
      <c r="AN12" s="65">
        <f>COUNTIF(AN5:AN11,"D")+COUNTIF(AN5:AN11,"B")+COUNTIF(AN5:AN11,"U")+COUNTIF(AN5:AN11,"G")</f>
        <v>0</v>
      </c>
      <c r="AO12" s="65">
        <f>COUNTIF(AO5:AO11,"D")+COUNTIF(AO5:AO11,"B")+COUNTIF(AO5:AO11,"U")+COUNTIF(AO5:AO11,"G")</f>
        <v>0</v>
      </c>
    </row>
  </sheetData>
  <conditionalFormatting sqref="C5:AO11">
    <cfRule type="cellIs" dxfId="10" priority="1" operator="equal">
      <formula>"D"</formula>
    </cfRule>
    <cfRule type="cellIs" dxfId="11" priority="2" operator="equal">
      <formula>"B"</formula>
    </cfRule>
    <cfRule type="cellIs" dxfId="12" priority="3" operator="equal">
      <formula>"U"</formula>
    </cfRule>
    <cfRule type="cellIs" dxfId="13" priority="4" operator="equal">
      <formula>"G"</formula>
    </cfRule>
    <cfRule type="cellIs" dxfId="14" priority="5" operator="equal">
      <formula>"S"</formula>
    </cfRule>
  </conditionalFormatting>
  <pageMargins left="0.75" right="0.75" top="1" bottom="1" header="0.5" footer="0.5"/>
  <pageSetup orientation="landscape"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5"/>
  <sheetViews>
    <sheetView workbookViewId="0" showGridLines="0" zoomScale="100" zoomScaleNormal="100"/>
  </sheetViews>
  <sheetFormatPr defaultRowHeight="14.4" outlineLevelRow="0" outlineLevelCol="0" x14ac:dyDescent="0.3" customHeight="1"/>
  <cols>
    <col min="1" max="1" width="5" customWidth="1"/>
    <col min="2" max="2" width="130" customWidth="1"/>
  </cols>
  <sheetData>
    <row r="1" ht="17.4" customHeight="1" spans="1:1" x14ac:dyDescent="0.25">
      <c r="A1" s="1" t="s">
        <v>423</v>
      </c>
    </row>
    <row r="3" spans="1:1" x14ac:dyDescent="0.25">
      <c r="A3" s="66" t="s">
        <v>424</v>
      </c>
    </row>
    <row r="4" ht="28.05" customHeight="1" spans="1:2" x14ac:dyDescent="0.25">
      <c r="A4" s="67">
        <v>1</v>
      </c>
      <c r="B4" s="68" t="s">
        <v>425</v>
      </c>
    </row>
    <row r="5" ht="28.05" customHeight="1" spans="1:2" x14ac:dyDescent="0.25">
      <c r="A5" s="67">
        <v>2</v>
      </c>
      <c r="B5" s="68" t="s">
        <v>426</v>
      </c>
    </row>
    <row r="6" ht="28.05" customHeight="1" spans="1:2" x14ac:dyDescent="0.25">
      <c r="A6" s="67">
        <v>3</v>
      </c>
      <c r="B6" s="68" t="s">
        <v>427</v>
      </c>
    </row>
    <row r="7" ht="28.05" customHeight="1" spans="1:2" x14ac:dyDescent="0.25">
      <c r="A7" s="67">
        <v>4</v>
      </c>
      <c r="B7" s="68" t="s">
        <v>428</v>
      </c>
    </row>
    <row r="8" ht="28.05" customHeight="1" spans="1:2" x14ac:dyDescent="0.25">
      <c r="A8" s="67">
        <v>5</v>
      </c>
      <c r="B8" s="68" t="s">
        <v>429</v>
      </c>
    </row>
    <row r="9" ht="28.05" customHeight="1" spans="1:2" x14ac:dyDescent="0.25">
      <c r="A9" s="67">
        <v>6</v>
      </c>
      <c r="B9" s="68" t="s">
        <v>430</v>
      </c>
    </row>
    <row r="10" ht="28.05" customHeight="1" spans="1:2" x14ac:dyDescent="0.25">
      <c r="A10" s="67">
        <v>7</v>
      </c>
      <c r="B10" s="68" t="s">
        <v>431</v>
      </c>
    </row>
    <row r="11" spans="1:1" x14ac:dyDescent="0.25">
      <c r="A11" s="66" t="s">
        <v>432</v>
      </c>
    </row>
    <row r="12" ht="28.05" customHeight="1" spans="1:2" x14ac:dyDescent="0.25">
      <c r="A12" s="67">
        <v>8</v>
      </c>
      <c r="B12" s="68" t="s">
        <v>433</v>
      </c>
    </row>
    <row r="13" ht="28.05" customHeight="1" spans="1:2" x14ac:dyDescent="0.25">
      <c r="A13" s="67">
        <v>9</v>
      </c>
      <c r="B13" s="68" t="s">
        <v>434</v>
      </c>
    </row>
    <row r="14" ht="28.05" customHeight="1" spans="1:2" x14ac:dyDescent="0.25">
      <c r="A14" s="67">
        <v>10</v>
      </c>
      <c r="B14" s="68" t="s">
        <v>435</v>
      </c>
    </row>
    <row r="15" spans="1:1" x14ac:dyDescent="0.25">
      <c r="A15" s="66" t="s">
        <v>436</v>
      </c>
    </row>
    <row r="16" ht="28.05" customHeight="1" spans="1:2" x14ac:dyDescent="0.25">
      <c r="A16" s="67">
        <v>11</v>
      </c>
      <c r="B16" s="68" t="s">
        <v>437</v>
      </c>
    </row>
    <row r="17" ht="15" customHeight="1" spans="1:2" x14ac:dyDescent="0.25">
      <c r="A17" s="67">
        <v>12</v>
      </c>
      <c r="B17" s="68" t="s">
        <v>438</v>
      </c>
    </row>
    <row r="18" ht="28.05" customHeight="1" spans="1:2" x14ac:dyDescent="0.25">
      <c r="A18" s="67">
        <v>13</v>
      </c>
      <c r="B18" s="68" t="s">
        <v>439</v>
      </c>
    </row>
    <row r="19" ht="15" customHeight="1" spans="1:2" x14ac:dyDescent="0.25">
      <c r="A19" s="67">
        <v>14</v>
      </c>
      <c r="B19" s="68" t="s">
        <v>440</v>
      </c>
    </row>
    <row r="20" spans="1:1" x14ac:dyDescent="0.25">
      <c r="A20" s="66" t="s">
        <v>441</v>
      </c>
    </row>
    <row r="21" ht="28.05" customHeight="1" spans="1:2" x14ac:dyDescent="0.25">
      <c r="A21" s="67">
        <v>15</v>
      </c>
      <c r="B21" s="68" t="s">
        <v>442</v>
      </c>
    </row>
    <row r="22" ht="15" customHeight="1" spans="1:2" x14ac:dyDescent="0.25">
      <c r="A22" s="67">
        <v>16</v>
      </c>
      <c r="B22" s="68" t="s">
        <v>443</v>
      </c>
    </row>
    <row r="23" ht="15" customHeight="1" spans="1:2" x14ac:dyDescent="0.25">
      <c r="A23" s="67">
        <v>17</v>
      </c>
      <c r="B23" s="68" t="s">
        <v>444</v>
      </c>
    </row>
    <row r="24" ht="28.05" customHeight="1" spans="1:2" x14ac:dyDescent="0.25">
      <c r="A24" s="67">
        <v>18</v>
      </c>
      <c r="B24" s="68" t="s">
        <v>445</v>
      </c>
    </row>
    <row r="25" spans="1:2" x14ac:dyDescent="0.25">
      <c r="A25" s="67">
        <v>19</v>
      </c>
      <c r="B25" s="68" t="s">
        <v>446</v>
      </c>
    </row>
  </sheetData>
  <pageMargins left="0.75" right="0.75" top="1" bottom="1" header="0.5" footer="0.5"/>
  <pageSetup orientation="landscape"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Summary</vt:lpstr>
      <vt:lpstr>Inputs</vt:lpstr>
      <vt:lpstr>Work Volume</vt:lpstr>
      <vt:lpstr>Packages</vt:lpstr>
      <vt:lpstr>Payment Schedule</vt:lpstr>
      <vt:lpstr>Original Offer</vt:lpstr>
      <vt:lpstr>Gantt</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AbdNahid</cp:lastModifiedBy>
  <dcterms:created xsi:type="dcterms:W3CDTF">2026-10-19T09:52:27Z</dcterms:created>
  <dcterms:modified xsi:type="dcterms:W3CDTF">2026-10-19T09:59:26Z</dcterms:modified>
</cp:coreProperties>
</file>